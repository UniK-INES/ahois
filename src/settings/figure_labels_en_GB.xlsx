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vanDigel\git\ahois-pro\src\settings\"/>
    </mc:Choice>
  </mc:AlternateContent>
  <xr:revisionPtr revIDLastSave="0" documentId="13_ncr:1_{F8E45B56-9A94-46F4-9346-302FFB53A63E}" xr6:coauthVersionLast="36" xr6:coauthVersionMax="36" xr10:uidLastSave="{00000000-0000-0000-0000-000000000000}"/>
  <bookViews>
    <workbookView xWindow="0" yWindow="0" windowWidth="16380" windowHeight="8196" tabRatio="500" firstSheet="9" activeTab="13" xr2:uid="{00000000-000D-0000-FFFF-FFFF00000000}"/>
  </bookViews>
  <sheets>
    <sheet name="heatsys_labels" sheetId="1" r:id="rId1"/>
    <sheet name="heatsys_energy_labels" sheetId="2" r:id="rId2"/>
    <sheet name="parts_labels" sheetId="3" r:id="rId3"/>
    <sheet name="heatsys_labels_old" sheetId="4" r:id="rId4"/>
    <sheet name="gt_labels" sheetId="5" r:id="rId5"/>
    <sheet name="bak_labels" sheetId="6" r:id="rId6"/>
    <sheet name="owner_labels" sheetId="7" r:id="rId7"/>
    <sheet name="sources_labels" sheetId="8" r:id="rId8"/>
    <sheet name="eff_class_labels" sheetId="9" r:id="rId9"/>
    <sheet name="eff_class4_labels" sheetId="10" r:id="rId10"/>
    <sheet name="income_labels" sheetId="11" r:id="rId11"/>
    <sheet name="income_labels_agora" sheetId="12" r:id="rId12"/>
    <sheet name="files_prefix" sheetId="13" r:id="rId13"/>
    <sheet name="attributes" sheetId="14" r:id="rId14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45" i="13" l="1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</calcChain>
</file>

<file path=xl/sharedStrings.xml><?xml version="1.0" encoding="utf-8"?>
<sst xmlns="http://schemas.openxmlformats.org/spreadsheetml/2006/main" count="893" uniqueCount="337">
  <si>
    <t>https://matplotlib.org/stable/tutorials/colors/colors.html</t>
  </si>
  <si>
    <t>from top</t>
  </si>
  <si>
    <t>label</t>
  </si>
  <si>
    <t>value</t>
  </si>
  <si>
    <t>colour</t>
  </si>
  <si>
    <t>order</t>
  </si>
  <si>
    <t>Konstanttemperatur-Kessel</t>
  </si>
  <si>
    <t>const_temp_boiler</t>
  </si>
  <si>
    <t>xkcd:black</t>
  </si>
  <si>
    <t>Konstanttemperatur-Kessel
mit Sol.</t>
  </si>
  <si>
    <t>const_temp_boiler_sol</t>
  </si>
  <si>
    <t>xkcd:grey</t>
  </si>
  <si>
    <t>Niedertemperatur-Kessel</t>
  </si>
  <si>
    <t>low_temp_boiler</t>
  </si>
  <si>
    <t>xkcd:brown</t>
  </si>
  <si>
    <t>Niedertemperatur-Kessel
mit Sol.</t>
  </si>
  <si>
    <t>low_temp_boiler_sol</t>
  </si>
  <si>
    <t>xkcd:sienna</t>
  </si>
  <si>
    <t>Brennwert-Kessel</t>
  </si>
  <si>
    <t>cond_boiler</t>
  </si>
  <si>
    <t>xkcd:wine</t>
  </si>
  <si>
    <t>Brennwert-Kessel mit Sol.</t>
  </si>
  <si>
    <t>cond_boiler_sol</t>
  </si>
  <si>
    <t>xkcd:red</t>
  </si>
  <si>
    <t>Biomasse-Kessel</t>
  </si>
  <si>
    <t>pellet</t>
  </si>
  <si>
    <t>xkcd:green</t>
  </si>
  <si>
    <t>Biomasse-Kessel mit Sol.</t>
  </si>
  <si>
    <t>pellet_sol</t>
  </si>
  <si>
    <t>xkcd:lightgreen</t>
  </si>
  <si>
    <t>Erdsonde/Wasser-WP</t>
  </si>
  <si>
    <t>hp_brine</t>
  </si>
  <si>
    <t>xkcd:blue</t>
  </si>
  <si>
    <t>Erdsonde/Wasser-WP mit Lüftung</t>
  </si>
  <si>
    <t>hp_brine_vent</t>
  </si>
  <si>
    <t>xkcd:lightblue</t>
  </si>
  <si>
    <t>Luft/Wasser-WP</t>
  </si>
  <si>
    <t>hp_air</t>
  </si>
  <si>
    <t>xkcd:violet</t>
  </si>
  <si>
    <t>Luft/Wasser-WP mit Lüftung</t>
  </si>
  <si>
    <t>hp_air_vent</t>
  </si>
  <si>
    <t>xkcd:pink</t>
  </si>
  <si>
    <t>Fernwärme/Nahwärme</t>
  </si>
  <si>
    <t>dh</t>
  </si>
  <si>
    <t>xkcd:orange</t>
  </si>
  <si>
    <t>Fernwärme</t>
  </si>
  <si>
    <t>ldh</t>
  </si>
  <si>
    <t>Nahwärme</t>
  </si>
  <si>
    <t>lh</t>
  </si>
  <si>
    <t>xkcd:yellow</t>
  </si>
  <si>
    <t>Wasserstoff-Kessel</t>
  </si>
  <si>
    <t>boiler_h2</t>
  </si>
  <si>
    <t>Wasserstoff-Kessel mit Sol.</t>
  </si>
  <si>
    <t>boiler_h2_sol</t>
  </si>
  <si>
    <t>Gas-Kessel</t>
  </si>
  <si>
    <t>boiler_gas</t>
  </si>
  <si>
    <t>Gas-Kessel mit Solarthermie</t>
  </si>
  <si>
    <t>boiler_gas_sol</t>
  </si>
  <si>
    <t>Öl-Kessel</t>
  </si>
  <si>
    <t>boiler_oil</t>
  </si>
  <si>
    <t>Öl-Kessel mit Solarthermie</t>
  </si>
  <si>
    <t>boiler_oil_sol</t>
  </si>
  <si>
    <t>Keller/Boden</t>
  </si>
  <si>
    <t>g</t>
  </si>
  <si>
    <t>ground</t>
  </si>
  <si>
    <t>Wand</t>
  </si>
  <si>
    <t>wall</t>
  </si>
  <si>
    <t>Dach</t>
  </si>
  <si>
    <t>roof</t>
  </si>
  <si>
    <t>Fenster</t>
  </si>
  <si>
    <t>win</t>
  </si>
  <si>
    <t>Heizsystem</t>
  </si>
  <si>
    <t>heat_sys</t>
  </si>
  <si>
    <t>Gebäudehülle</t>
  </si>
  <si>
    <t>envelope</t>
  </si>
  <si>
    <t>xkcd:magenta</t>
  </si>
  <si>
    <t>tab:blue</t>
  </si>
  <si>
    <t>tab:orange</t>
  </si>
  <si>
    <t>tab:green</t>
  </si>
  <si>
    <t>tab:red</t>
  </si>
  <si>
    <t>tab:purple</t>
  </si>
  <si>
    <t>tab:brown</t>
  </si>
  <si>
    <t>tab:pink</t>
  </si>
  <si>
    <t>tab:gray</t>
  </si>
  <si>
    <t>tab:olive</t>
  </si>
  <si>
    <t>tab:cyan</t>
  </si>
  <si>
    <t>k</t>
  </si>
  <si>
    <t>c</t>
  </si>
  <si>
    <t>m</t>
  </si>
  <si>
    <t>Ein-/Zweifamilienhaus</t>
  </si>
  <si>
    <t>EZFH</t>
  </si>
  <si>
    <t>xkcd:lavender</t>
  </si>
  <si>
    <t>Reihenhaus</t>
  </si>
  <si>
    <t>RH</t>
  </si>
  <si>
    <t>Kleines Mehrfamilienhaus</t>
  </si>
  <si>
    <t>KMFH</t>
  </si>
  <si>
    <t>Großes Mehrfamilienhaus</t>
  </si>
  <si>
    <t>GMFH</t>
  </si>
  <si>
    <t>xkcd:cyan</t>
  </si>
  <si>
    <t>NWG_1</t>
  </si>
  <si>
    <t>NWG_2</t>
  </si>
  <si>
    <t>NWG_3</t>
  </si>
  <si>
    <t>NWG_4</t>
  </si>
  <si>
    <t>NWG_5</t>
  </si>
  <si>
    <t>xkcd:goldenrod</t>
  </si>
  <si>
    <t>NWG_6</t>
  </si>
  <si>
    <t>xkcd:azure</t>
  </si>
  <si>
    <t>NWG_7</t>
  </si>
  <si>
    <t>xkcd:teal</t>
  </si>
  <si>
    <t>NWG_8</t>
  </si>
  <si>
    <t>xkcd:purple</t>
  </si>
  <si>
    <t>NWG_9</t>
  </si>
  <si>
    <t>Ein-/Zweifamilien-/Reihenhaus</t>
  </si>
  <si>
    <t>EZFH+RH</t>
  </si>
  <si>
    <t>Mehrfamilienhaus</t>
  </si>
  <si>
    <t>MFH</t>
  </si>
  <si>
    <t>bis 1948</t>
  </si>
  <si>
    <t>1949 - 1978</t>
  </si>
  <si>
    <t>1979 - 2001</t>
  </si>
  <si>
    <t>2002 - 2015</t>
  </si>
  <si>
    <t>ab 2016</t>
  </si>
  <si>
    <t>bis 1978</t>
  </si>
  <si>
    <t>1979 - 2009</t>
  </si>
  <si>
    <t>ab 2010</t>
  </si>
  <si>
    <t>privat-selbstnutzend</t>
  </si>
  <si>
    <t>privat-vermietend</t>
  </si>
  <si>
    <t>WEG</t>
  </si>
  <si>
    <t>privatwirtschaftliches Unternehmen</t>
  </si>
  <si>
    <t>Genossenschaft</t>
  </si>
  <si>
    <t>xkcd:salmon</t>
  </si>
  <si>
    <t>öffentliche Hand</t>
  </si>
  <si>
    <t>Gas</t>
  </si>
  <si>
    <t>gas</t>
  </si>
  <si>
    <t>Heizöl</t>
  </si>
  <si>
    <t>oil</t>
  </si>
  <si>
    <t>Wasserstoff/Biomethan</t>
  </si>
  <si>
    <t>h2</t>
  </si>
  <si>
    <t>Holz</t>
  </si>
  <si>
    <t>wood</t>
  </si>
  <si>
    <t>district_chp_mix</t>
  </si>
  <si>
    <t>Elektrizität</t>
  </si>
  <si>
    <t>electricity</t>
  </si>
  <si>
    <t>A+</t>
  </si>
  <si>
    <t>xkcd:yellowgreen</t>
  </si>
  <si>
    <t>A</t>
  </si>
  <si>
    <t>B</t>
  </si>
  <si>
    <t>C</t>
  </si>
  <si>
    <t>xkcd:gold</t>
  </si>
  <si>
    <t>D</t>
  </si>
  <si>
    <t>E</t>
  </si>
  <si>
    <t>xkcd:orangered</t>
  </si>
  <si>
    <t>F</t>
  </si>
  <si>
    <t>G</t>
  </si>
  <si>
    <t>xkcd:crimson</t>
  </si>
  <si>
    <t>H</t>
  </si>
  <si>
    <t>xkcd:maroon</t>
  </si>
  <si>
    <t>A+ &amp; A &amp; B</t>
  </si>
  <si>
    <t>C &amp; D</t>
  </si>
  <si>
    <t>E &amp; F</t>
  </si>
  <si>
    <t>G &amp; H</t>
  </si>
  <si>
    <t>bis 1100 €_2016/Monat</t>
  </si>
  <si>
    <t>u1100</t>
  </si>
  <si>
    <t>bis 1500 €_2016/Monat</t>
  </si>
  <si>
    <t>u1500</t>
  </si>
  <si>
    <t>bis 2000 €_2016/Monat</t>
  </si>
  <si>
    <t>u2000</t>
  </si>
  <si>
    <t>bis 2600 €_2016/Monat</t>
  </si>
  <si>
    <t>u2600</t>
  </si>
  <si>
    <t>bis 4000 €_2016/Monat</t>
  </si>
  <si>
    <t>u4000</t>
  </si>
  <si>
    <t>bis 7500 €_2016/Monat</t>
  </si>
  <si>
    <t>u7500</t>
  </si>
  <si>
    <t>über 7500 €_2016/Monat</t>
  </si>
  <si>
    <t>ü7500</t>
  </si>
  <si>
    <t>xkcd:darkblue</t>
  </si>
  <si>
    <t>über 4000 €_2016/Monat</t>
  </si>
  <si>
    <t>ü4000</t>
  </si>
  <si>
    <t>bis 1100 €/Monat</t>
  </si>
  <si>
    <t>bis 1500 €/Monat</t>
  </si>
  <si>
    <t>bis 2000 €/Monat</t>
  </si>
  <si>
    <t>bis 2600 €/Monat</t>
  </si>
  <si>
    <t>bis 4000 €/Monat</t>
  </si>
  <si>
    <t>bis 7500 €/Monat</t>
  </si>
  <si>
    <t>über 7500 €/Monat</t>
  </si>
  <si>
    <t>über 4000 €/Monat</t>
  </si>
  <si>
    <t>variant</t>
  </si>
  <si>
    <t>intervention</t>
  </si>
  <si>
    <t>short</t>
  </si>
  <si>
    <t>hatch</t>
  </si>
  <si>
    <t>marker</t>
  </si>
  <si>
    <t>DEZ (1)</t>
  </si>
  <si>
    <t>Baseline</t>
  </si>
  <si>
    <t>DEC (1): Baseline</t>
  </si>
  <si>
    <t>DEZ_Baseline</t>
  </si>
  <si>
    <t>green</t>
  </si>
  <si>
    <t>None</t>
  </si>
  <si>
    <t>KWN (2)</t>
  </si>
  <si>
    <t>KWN (2): Baseline</t>
  </si>
  <si>
    <t>KWN_Baseline</t>
  </si>
  <si>
    <t>blue</t>
  </si>
  <si>
    <t>MIX (3)</t>
  </si>
  <si>
    <t>WWN (3): Baseline</t>
  </si>
  <si>
    <t>MIX_Baseline</t>
  </si>
  <si>
    <t>red</t>
  </si>
  <si>
    <t>GPJ (4)</t>
  </si>
  <si>
    <t>GPJ (4): Baseline</t>
  </si>
  <si>
    <t>GPJ_Baseline</t>
  </si>
  <si>
    <t>orange</t>
  </si>
  <si>
    <t>Preissenkung</t>
  </si>
  <si>
    <t>Red. Inst.kosten </t>
  </si>
  <si>
    <t>DEC (1): Red. Inst.kosten </t>
  </si>
  <si>
    <t>\</t>
  </si>
  <si>
    <t>v</t>
  </si>
  <si>
    <t>KWN (2): Red. Inst.kosten </t>
  </si>
  <si>
    <t>WWN (3): Red. Inst.kosten </t>
  </si>
  <si>
    <t>GPJ (4): Red. Inst.kosten </t>
  </si>
  <si>
    <t>Risikokampagne</t>
  </si>
  <si>
    <t>DEC (1): Risikokampagne</t>
  </si>
  <si>
    <t>||</t>
  </si>
  <si>
    <t>|</t>
  </si>
  <si>
    <t>KWN (2): Risikokampagne</t>
  </si>
  <si>
    <t>WWN (3): Risikokampagne</t>
  </si>
  <si>
    <t>GPJ (4): Risikokampagne</t>
  </si>
  <si>
    <t>Weiterbildung Installateure</t>
  </si>
  <si>
    <t>Weiterbildung</t>
  </si>
  <si>
    <t>DEC (1): Kreditlinie</t>
  </si>
  <si>
    <t>O.</t>
  </si>
  <si>
    <t>d</t>
  </si>
  <si>
    <t>KWN (2): Kreditlinie</t>
  </si>
  <si>
    <t>WWN (3): Kreditlinie</t>
  </si>
  <si>
    <t>GPJ (4): Kreditlinie</t>
  </si>
  <si>
    <t>Beraterkampagne</t>
  </si>
  <si>
    <t>EB-Kampagne</t>
  </si>
  <si>
    <t>DEC (1): EA-Campaign</t>
  </si>
  <si>
    <t>.</t>
  </si>
  <si>
    <t>KWN (2): EA-Campaign</t>
  </si>
  <si>
    <t>WWN (3): EA-Campaign</t>
  </si>
  <si>
    <t>GPJ (4): EA-Campaign</t>
  </si>
  <si>
    <t>Energiepreissenkung</t>
  </si>
  <si>
    <t>Red. En.kosten</t>
  </si>
  <si>
    <t>DEC (1): Red. En.kosten</t>
  </si>
  <si>
    <t>*</t>
  </si>
  <si>
    <t>KWN (2): Red. En.kosten</t>
  </si>
  <si>
    <t>WWN (3): Red. En.kosten</t>
  </si>
  <si>
    <t>GPJ (4): Red. En.kosten</t>
  </si>
  <si>
    <t>Ersatzmandate</t>
  </si>
  <si>
    <t>Restriktion HS</t>
  </si>
  <si>
    <t>DEC (1): Restriktion HS</t>
  </si>
  <si>
    <t>+</t>
  </si>
  <si>
    <t>KWN (2): Restriktion HS</t>
  </si>
  <si>
    <t>WWN (3): Restriktion HS</t>
  </si>
  <si>
    <t>GPJ (4): Restriktion HS</t>
  </si>
  <si>
    <t>Kreditlinie</t>
  </si>
  <si>
    <t>/</t>
  </si>
  <si>
    <t>s</t>
  </si>
  <si>
    <t>Auswahlbeschränkung</t>
  </si>
  <si>
    <t>Anschlusszwang</t>
  </si>
  <si>
    <t>DEC (1): Anschlusszwang</t>
  </si>
  <si>
    <t>x</t>
  </si>
  <si>
    <t>KWN (2): Anschlusszwang</t>
  </si>
  <si>
    <t>WWN (3): Anschlusszwang</t>
  </si>
  <si>
    <t>GPJ (4): Anschlusszwang</t>
  </si>
  <si>
    <t>Aufwandsreduzierung</t>
  </si>
  <si>
    <t>Red. Inst.aufwand</t>
  </si>
  <si>
    <t>DEC (1): Red. Inst.aufwand</t>
  </si>
  <si>
    <t>--</t>
  </si>
  <si>
    <t>&gt;</t>
  </si>
  <si>
    <t>KWN (2): Red. Inst.aufwand</t>
  </si>
  <si>
    <t>WWN (3): Red. Inst.aufwand</t>
  </si>
  <si>
    <t>GPJ (4): Red. Inst.aufwand</t>
  </si>
  <si>
    <t>Wärmeliefervertrag</t>
  </si>
  <si>
    <t>Wärmekontrakt</t>
  </si>
  <si>
    <t>DEC (1): Wärmekontrakt</t>
  </si>
  <si>
    <t>o</t>
  </si>
  <si>
    <t>KWN (2): Wärmekontrakt</t>
  </si>
  <si>
    <t>WWN (3): Wärmekontrakt</t>
  </si>
  <si>
    <t>GPJ (4): Wärmekontrakt</t>
  </si>
  <si>
    <t>DEC (1):</t>
  </si>
  <si>
    <t>baseline</t>
  </si>
  <si>
    <t>KWN (2):</t>
  </si>
  <si>
    <t>WWN (3):</t>
  </si>
  <si>
    <t>GPJ (4):</t>
  </si>
  <si>
    <t>Aufwandsreduzierung-Beraterkampagne</t>
  </si>
  <si>
    <t>Red. Inst.aufw. &amp; EB-Kamp.</t>
  </si>
  <si>
    <t>DEC (1): Red. Inst.aufw. &amp; EB-Kamp.</t>
  </si>
  <si>
    <t>DEZ_Aufwandsreduzierung-Beraterkampagne</t>
  </si>
  <si>
    <t>-.</t>
  </si>
  <si>
    <t>h</t>
  </si>
  <si>
    <t>KWN (2): Red. Inst.aufw. &amp; EB-Kamp.</t>
  </si>
  <si>
    <t>KWN_Aufwandsreduzierung-Beraterkampagne</t>
  </si>
  <si>
    <t>WWN (3): Red. Inst.aufw. &amp; EB-Kamp.</t>
  </si>
  <si>
    <t>MIX_Aufwandsreduzierung-Beraterkampagne</t>
  </si>
  <si>
    <t>GPJ (4): Red. Inst.aufw. &amp; EB-Kamp.</t>
  </si>
  <si>
    <t>GPJ_Aufwandsreduzierung-Beraterkampagne</t>
  </si>
  <si>
    <t>Energiepreissenkung-Ersatzmandate</t>
  </si>
  <si>
    <t>Red. En.kos. &amp; Restrikt. HS</t>
  </si>
  <si>
    <t>DEC (1): Red. En.kos. &amp; Restrikt. HS</t>
  </si>
  <si>
    <t>DEZ_Energiepreissenkung-Ersatzmandate</t>
  </si>
  <si>
    <t>*+</t>
  </si>
  <si>
    <t>X</t>
  </si>
  <si>
    <t>KWN (2): Red. En.kos. &amp; Restrikt. HS</t>
  </si>
  <si>
    <t>KWN_Energiepreissenkung-Ersatzmandate</t>
  </si>
  <si>
    <t>WWN (3): Red. En.kos. &amp; Restrikt. HS</t>
  </si>
  <si>
    <t>MIX_Energiepreissenkung-Ersatzmandate</t>
  </si>
  <si>
    <t>GPJ (4): Red. En.kos. &amp; Restrikt. HS</t>
  </si>
  <si>
    <t>GPJ_Energiepreissenkung-Ersatzmandate</t>
  </si>
  <si>
    <t>Preissenkung-Risikokampagne</t>
  </si>
  <si>
    <t>Red. Inst.kos. &amp; Risikokamp.</t>
  </si>
  <si>
    <t>DEC (1): Red. Inst.kos. &amp; Risikokamp.</t>
  </si>
  <si>
    <t>DEZ_Preissenkung-Risikokampagne</t>
  </si>
  <si>
    <t>\|</t>
  </si>
  <si>
    <t>KWN (2): Red. Inst.kos. &amp; Risikokamp.</t>
  </si>
  <si>
    <t>KWN_Preissenkung-Risikokampagne</t>
  </si>
  <si>
    <t>WWN (3): Red. Inst.kos. &amp; Risikokamp.</t>
  </si>
  <si>
    <t>MIX_Preissenkung-Risikokampagne</t>
  </si>
  <si>
    <t>GPJ (4): Red. Inst.kos. &amp; Risikokamp.</t>
  </si>
  <si>
    <t>GPJ_Preissenkung-Risikokampagne</t>
  </si>
  <si>
    <t>Wärmeliefervertrag-Ersatzmandate</t>
  </si>
  <si>
    <t>Wärmekon. &amp; Restrikt. HS</t>
  </si>
  <si>
    <t>DEC (1): Wärmekon. &amp; Restrikt. HS</t>
  </si>
  <si>
    <t>DEZ_Wärmeliefervertrag-Ersatzmandate</t>
  </si>
  <si>
    <t>o+</t>
  </si>
  <si>
    <t>KWN (2): Wärmekon. &amp; Restrikt. HS</t>
  </si>
  <si>
    <t>KWN_Wärmeliefervertrag-Ersatzmandate</t>
  </si>
  <si>
    <t>WWN (3): Wärmekon. &amp; Restrikt. HS</t>
  </si>
  <si>
    <t>MIX_Wärmeliefervertrag-Ersatzmandate</t>
  </si>
  <si>
    <t>GPJ (4): Wärmekon. &amp; Restrikt. HS</t>
  </si>
  <si>
    <t>GPJ_Wärmeliefervertrag-Ersatzmandate</t>
  </si>
  <si>
    <t>Emissions</t>
  </si>
  <si>
    <t>Social norm</t>
  </si>
  <si>
    <t>Installation effort</t>
  </si>
  <si>
    <t>OPEX</t>
  </si>
  <si>
    <t>Price</t>
  </si>
  <si>
    <t>Behavioural control</t>
  </si>
  <si>
    <t>Operation effort</t>
  </si>
  <si>
    <t>Fuel cost</t>
  </si>
  <si>
    <t>Attitude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</si>
</sst>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u/>
      <sz val="10"/>
      <color rgb="FF0563C1"/>
      <name val="Arial"/>
      <family val="2"/>
      <charset val="1"/>
    </font>
    <font>
      <sz val="10"/>
      <name val="Arial Unicode MS"/>
      <charset val="1"/>
    </font>
    <font>
      <b/>
      <sz val="10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9">
    <xf numFmtId="0" fontId="0" fillId="0" borderId="0" xfId="0"/>
    <xf numFmtId="0" fontId="1" fillId="0" borderId="0" xfId="1" applyFont="1" applyBorder="1" applyAlignment="1" applyProtection="1"/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wrapText="1"/>
    </xf>
    <xf numFmtId="0" fontId="3" fillId="0" borderId="0" xfId="0" applyFont="1"/>
    <xf numFmtId="0" fontId="0" fillId="0" borderId="0" xfId="0" applyAlignment="1"/>
    <xf numFmtId="0" fontId="4" fillId="0" borderId="0" xfId="0" applyFont="1"/>
    <xf numFmtId="49" fontId="0" fillId="0" borderId="0" xfId="0" applyNumberFormat="1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Normal="100" workbookViewId="0">
      <selection activeCellId="16" sqref="D2 D6 D10 D14 D18 D22 D26 D30 D34 D38 D42 D46 D50 D54 D58 D62 A1"/>
    </sheetView>
  </sheetViews>
  <sheetFormatPr defaultColWidth="11.77734375" defaultRowHeight="13.2"/>
  <cols>
    <col min="1" max="1" width="46" customWidth="1"/>
    <col min="2" max="2" width="20.109375" customWidth="1"/>
  </cols>
  <sheetData>
    <row r="1" spans="1:4">
      <c r="C1" s="1" t="s">
        <v>0</v>
      </c>
      <c r="D1" s="2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 t="s">
        <v>7</v>
      </c>
      <c r="C3" s="3" t="s">
        <v>8</v>
      </c>
      <c r="D3">
        <v>1</v>
      </c>
    </row>
    <row r="4" spans="1:4" ht="26.4">
      <c r="A4" s="4" t="s">
        <v>9</v>
      </c>
      <c r="B4" s="2" t="s">
        <v>10</v>
      </c>
      <c r="C4" s="3" t="s">
        <v>11</v>
      </c>
      <c r="D4">
        <v>2</v>
      </c>
    </row>
    <row r="5" spans="1:4">
      <c r="A5" t="s">
        <v>12</v>
      </c>
      <c r="B5" t="s">
        <v>13</v>
      </c>
      <c r="C5" t="s">
        <v>14</v>
      </c>
      <c r="D5">
        <v>3</v>
      </c>
    </row>
    <row r="6" spans="1:4" ht="26.4">
      <c r="A6" s="4" t="s">
        <v>15</v>
      </c>
      <c r="B6" s="2" t="s">
        <v>16</v>
      </c>
      <c r="C6" s="2" t="s">
        <v>17</v>
      </c>
      <c r="D6">
        <v>4</v>
      </c>
    </row>
    <row r="7" spans="1:4">
      <c r="A7" t="s">
        <v>18</v>
      </c>
      <c r="B7" t="s">
        <v>19</v>
      </c>
      <c r="C7" t="s">
        <v>20</v>
      </c>
      <c r="D7">
        <v>5</v>
      </c>
    </row>
    <row r="8" spans="1:4">
      <c r="A8" t="s">
        <v>21</v>
      </c>
      <c r="B8" t="s">
        <v>22</v>
      </c>
      <c r="C8" t="s">
        <v>23</v>
      </c>
      <c r="D8">
        <v>6</v>
      </c>
    </row>
    <row r="9" spans="1:4">
      <c r="A9" t="s">
        <v>24</v>
      </c>
      <c r="B9" t="s">
        <v>25</v>
      </c>
      <c r="C9" s="3" t="s">
        <v>26</v>
      </c>
      <c r="D9">
        <v>7</v>
      </c>
    </row>
    <row r="10" spans="1:4">
      <c r="A10" t="s">
        <v>27</v>
      </c>
      <c r="B10" t="s">
        <v>28</v>
      </c>
      <c r="C10" s="3" t="s">
        <v>29</v>
      </c>
      <c r="D10">
        <v>8</v>
      </c>
    </row>
    <row r="11" spans="1:4">
      <c r="A11" t="s">
        <v>30</v>
      </c>
      <c r="B11" t="s">
        <v>31</v>
      </c>
      <c r="C11" s="3" t="s">
        <v>32</v>
      </c>
      <c r="D11">
        <v>9</v>
      </c>
    </row>
    <row r="12" spans="1:4">
      <c r="A12" t="s">
        <v>33</v>
      </c>
      <c r="B12" t="s">
        <v>34</v>
      </c>
      <c r="C12" s="3" t="s">
        <v>35</v>
      </c>
      <c r="D12">
        <v>10</v>
      </c>
    </row>
    <row r="13" spans="1:4">
      <c r="A13" t="s">
        <v>36</v>
      </c>
      <c r="B13" t="s">
        <v>37</v>
      </c>
      <c r="C13" t="s">
        <v>38</v>
      </c>
      <c r="D13">
        <v>11</v>
      </c>
    </row>
    <row r="14" spans="1:4">
      <c r="A14" t="s">
        <v>39</v>
      </c>
      <c r="B14" t="s">
        <v>40</v>
      </c>
      <c r="C14" t="s">
        <v>41</v>
      </c>
      <c r="D14">
        <v>12</v>
      </c>
    </row>
    <row r="15" spans="1:4">
      <c r="A15" t="s">
        <v>42</v>
      </c>
      <c r="B15" t="s">
        <v>43</v>
      </c>
      <c r="C15" s="3" t="s">
        <v>44</v>
      </c>
      <c r="D15">
        <v>13</v>
      </c>
    </row>
    <row r="16" spans="1:4">
      <c r="A16" t="s">
        <v>45</v>
      </c>
      <c r="B16" t="s">
        <v>46</v>
      </c>
      <c r="C16" s="3" t="s">
        <v>44</v>
      </c>
      <c r="D16">
        <v>14</v>
      </c>
    </row>
    <row r="17" spans="1:4">
      <c r="A17" t="s">
        <v>47</v>
      </c>
      <c r="B17" t="s">
        <v>48</v>
      </c>
      <c r="C17" t="s">
        <v>49</v>
      </c>
      <c r="D17">
        <v>15</v>
      </c>
    </row>
  </sheetData>
  <hyperlinks>
    <hyperlink ref="C1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Normal="100" workbookViewId="0">
      <selection activeCell="H12" activeCellId="16" sqref="D2 D6 D10 D14 D18 D22 D26 D30 D34 D38 D42 D46 D50 D54 D58 D62 H12"/>
    </sheetView>
  </sheetViews>
  <sheetFormatPr defaultColWidth="10.77734375" defaultRowHeight="13.2"/>
  <cols>
    <col min="1" max="1" width="29.6640625" customWidth="1"/>
    <col min="2" max="2" width="19.6640625" customWidth="1"/>
    <col min="3" max="3" width="15" customWidth="1"/>
  </cols>
  <sheetData>
    <row r="1" spans="1:4">
      <c r="C1" s="1" t="s">
        <v>0</v>
      </c>
      <c r="D1" s="2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50</v>
      </c>
      <c r="B3" t="s">
        <v>51</v>
      </c>
      <c r="C3" t="s">
        <v>20</v>
      </c>
      <c r="D3">
        <v>1</v>
      </c>
    </row>
    <row r="4" spans="1:4">
      <c r="A4" s="4" t="s">
        <v>52</v>
      </c>
      <c r="B4" s="2" t="s">
        <v>53</v>
      </c>
      <c r="C4" s="2" t="s">
        <v>23</v>
      </c>
      <c r="D4">
        <v>2</v>
      </c>
    </row>
    <row r="5" spans="1:4">
      <c r="A5" t="s">
        <v>54</v>
      </c>
      <c r="B5" t="s">
        <v>55</v>
      </c>
      <c r="C5" t="s">
        <v>14</v>
      </c>
      <c r="D5">
        <v>3</v>
      </c>
    </row>
    <row r="6" spans="1:4">
      <c r="A6" t="s">
        <v>56</v>
      </c>
      <c r="B6" t="s">
        <v>57</v>
      </c>
      <c r="C6" t="s">
        <v>17</v>
      </c>
      <c r="D6">
        <v>4</v>
      </c>
    </row>
    <row r="7" spans="1:4">
      <c r="A7" t="s">
        <v>58</v>
      </c>
      <c r="B7" t="s">
        <v>59</v>
      </c>
      <c r="C7" s="3" t="s">
        <v>8</v>
      </c>
      <c r="D7">
        <v>5</v>
      </c>
    </row>
    <row r="8" spans="1:4">
      <c r="A8" s="4" t="s">
        <v>60</v>
      </c>
      <c r="B8" s="2" t="s">
        <v>61</v>
      </c>
      <c r="C8" s="3" t="s">
        <v>11</v>
      </c>
      <c r="D8">
        <v>6</v>
      </c>
    </row>
    <row r="9" spans="1:4">
      <c r="A9" t="s">
        <v>24</v>
      </c>
      <c r="B9" t="s">
        <v>25</v>
      </c>
      <c r="C9" s="3" t="s">
        <v>26</v>
      </c>
      <c r="D9">
        <v>7</v>
      </c>
    </row>
    <row r="10" spans="1:4">
      <c r="A10" t="s">
        <v>27</v>
      </c>
      <c r="B10" t="s">
        <v>28</v>
      </c>
      <c r="C10" s="3" t="s">
        <v>29</v>
      </c>
      <c r="D10">
        <v>8</v>
      </c>
    </row>
    <row r="11" spans="1:4">
      <c r="A11" t="s">
        <v>30</v>
      </c>
      <c r="B11" t="s">
        <v>31</v>
      </c>
      <c r="C11" s="3" t="s">
        <v>32</v>
      </c>
      <c r="D11">
        <v>9</v>
      </c>
    </row>
    <row r="12" spans="1:4">
      <c r="A12" t="s">
        <v>33</v>
      </c>
      <c r="B12" t="s">
        <v>34</v>
      </c>
      <c r="C12" s="3" t="s">
        <v>35</v>
      </c>
      <c r="D12">
        <v>10</v>
      </c>
    </row>
    <row r="13" spans="1:4">
      <c r="A13" t="s">
        <v>36</v>
      </c>
      <c r="B13" t="s">
        <v>37</v>
      </c>
      <c r="C13" t="s">
        <v>38</v>
      </c>
      <c r="D13">
        <v>11</v>
      </c>
    </row>
    <row r="14" spans="1:4">
      <c r="A14" t="s">
        <v>39</v>
      </c>
      <c r="B14" t="s">
        <v>40</v>
      </c>
      <c r="C14" t="s">
        <v>41</v>
      </c>
      <c r="D14">
        <v>12</v>
      </c>
    </row>
    <row r="15" spans="1:4">
      <c r="A15" t="s">
        <v>42</v>
      </c>
      <c r="B15" t="s">
        <v>43</v>
      </c>
      <c r="C15" s="3" t="s">
        <v>44</v>
      </c>
      <c r="D15">
        <v>13</v>
      </c>
    </row>
    <row r="16" spans="1:4">
      <c r="A16" t="s">
        <v>45</v>
      </c>
      <c r="B16" t="s">
        <v>46</v>
      </c>
      <c r="C16" s="3" t="s">
        <v>44</v>
      </c>
      <c r="D16">
        <v>14</v>
      </c>
    </row>
    <row r="17" spans="1:4">
      <c r="A17" t="s">
        <v>47</v>
      </c>
      <c r="B17" t="s">
        <v>48</v>
      </c>
      <c r="C17" t="s">
        <v>49</v>
      </c>
      <c r="D17">
        <v>15</v>
      </c>
    </row>
  </sheetData>
  <hyperlinks>
    <hyperlink ref="C1" r:id="rId1" xr:uid="{00000000-0004-0000-01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>
      <selection activeCell="D4" activeCellId="16" sqref="D2 D6 D10 D14 D18 D22 D26 D30 D34 D38 D42 D46 D50 D54 D58 D62 D4"/>
    </sheetView>
  </sheetViews>
  <sheetFormatPr defaultColWidth="10.77734375" defaultRowHeight="13.2"/>
  <cols>
    <col min="1" max="1" width="13.109375" customWidth="1"/>
    <col min="3" max="3" width="47" customWidth="1"/>
  </cols>
  <sheetData>
    <row r="1" spans="1:4">
      <c r="C1" s="1" t="s">
        <v>0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62</v>
      </c>
      <c r="B3" t="s">
        <v>63</v>
      </c>
      <c r="C3" t="s">
        <v>11</v>
      </c>
      <c r="D3">
        <v>1</v>
      </c>
    </row>
    <row r="4" spans="1:4">
      <c r="A4" t="s">
        <v>62</v>
      </c>
      <c r="B4" t="s">
        <v>64</v>
      </c>
      <c r="C4" t="s">
        <v>11</v>
      </c>
      <c r="D4">
        <v>1</v>
      </c>
    </row>
    <row r="5" spans="1:4">
      <c r="A5" t="s">
        <v>65</v>
      </c>
      <c r="B5" t="s">
        <v>66</v>
      </c>
      <c r="C5" t="s">
        <v>8</v>
      </c>
      <c r="D5">
        <v>2</v>
      </c>
    </row>
    <row r="6" spans="1:4">
      <c r="A6" t="s">
        <v>67</v>
      </c>
      <c r="B6" t="s">
        <v>68</v>
      </c>
      <c r="C6" t="s">
        <v>23</v>
      </c>
      <c r="D6">
        <v>3</v>
      </c>
    </row>
    <row r="7" spans="1:4">
      <c r="A7" t="s">
        <v>69</v>
      </c>
      <c r="B7" t="s">
        <v>70</v>
      </c>
      <c r="C7" t="s">
        <v>32</v>
      </c>
      <c r="D7">
        <v>4</v>
      </c>
    </row>
    <row r="8" spans="1:4">
      <c r="A8" t="s">
        <v>71</v>
      </c>
      <c r="B8" t="s">
        <v>72</v>
      </c>
      <c r="C8" t="s">
        <v>44</v>
      </c>
      <c r="D8">
        <v>5</v>
      </c>
    </row>
    <row r="9" spans="1:4">
      <c r="A9" t="s">
        <v>73</v>
      </c>
      <c r="B9" t="s">
        <v>74</v>
      </c>
      <c r="C9" t="s">
        <v>75</v>
      </c>
      <c r="D9">
        <v>6</v>
      </c>
    </row>
  </sheetData>
  <hyperlinks>
    <hyperlink ref="C1" r:id="rId1" xr:uid="{00000000-0004-0000-02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zoomScaleNormal="100" workbookViewId="0">
      <selection activeCell="D16" activeCellId="16" sqref="D2 D6 D10 D14 D18 D22 D26 D30 D34 D38 D42 D46 D50 D54 D58 D62 D16"/>
    </sheetView>
  </sheetViews>
  <sheetFormatPr defaultColWidth="11.77734375" defaultRowHeight="13.2"/>
  <cols>
    <col min="1" max="1" width="46" customWidth="1"/>
    <col min="2" max="2" width="20.109375" customWidth="1"/>
  </cols>
  <sheetData>
    <row r="1" spans="1:3">
      <c r="C1" s="1" t="s">
        <v>0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24</v>
      </c>
      <c r="B3" t="s">
        <v>25</v>
      </c>
      <c r="C3" t="s">
        <v>76</v>
      </c>
    </row>
    <row r="4" spans="1:3">
      <c r="A4" t="s">
        <v>27</v>
      </c>
      <c r="B4" t="s">
        <v>28</v>
      </c>
      <c r="C4" t="s">
        <v>77</v>
      </c>
    </row>
    <row r="5" spans="1:3">
      <c r="A5" t="s">
        <v>18</v>
      </c>
      <c r="B5" t="s">
        <v>19</v>
      </c>
      <c r="C5" t="s">
        <v>78</v>
      </c>
    </row>
    <row r="6" spans="1:3">
      <c r="A6" t="s">
        <v>21</v>
      </c>
      <c r="B6" t="s">
        <v>22</v>
      </c>
      <c r="C6" t="s">
        <v>79</v>
      </c>
    </row>
    <row r="7" spans="1:3">
      <c r="A7" t="s">
        <v>42</v>
      </c>
      <c r="B7" t="s">
        <v>43</v>
      </c>
      <c r="C7" t="s">
        <v>80</v>
      </c>
    </row>
    <row r="8" spans="1:3">
      <c r="A8" t="s">
        <v>6</v>
      </c>
      <c r="B8" t="s">
        <v>7</v>
      </c>
      <c r="C8" t="s">
        <v>81</v>
      </c>
    </row>
    <row r="9" spans="1:3" ht="26.4">
      <c r="A9" s="4" t="s">
        <v>9</v>
      </c>
      <c r="B9" s="2" t="s">
        <v>10</v>
      </c>
      <c r="C9" s="2" t="s">
        <v>82</v>
      </c>
    </row>
    <row r="10" spans="1:3">
      <c r="A10" t="s">
        <v>36</v>
      </c>
      <c r="B10" t="s">
        <v>37</v>
      </c>
      <c r="C10" t="s">
        <v>83</v>
      </c>
    </row>
    <row r="11" spans="1:3">
      <c r="A11" t="s">
        <v>39</v>
      </c>
      <c r="B11" t="s">
        <v>40</v>
      </c>
      <c r="C11" t="s">
        <v>84</v>
      </c>
    </row>
    <row r="12" spans="1:3">
      <c r="A12" t="s">
        <v>12</v>
      </c>
      <c r="B12" t="s">
        <v>13</v>
      </c>
      <c r="C12" t="s">
        <v>85</v>
      </c>
    </row>
    <row r="13" spans="1:3" ht="26.4">
      <c r="A13" s="4" t="s">
        <v>15</v>
      </c>
      <c r="B13" s="2" t="s">
        <v>16</v>
      </c>
      <c r="C13" s="2" t="s">
        <v>86</v>
      </c>
    </row>
    <row r="14" spans="1:3">
      <c r="A14" t="s">
        <v>30</v>
      </c>
      <c r="B14" t="s">
        <v>31</v>
      </c>
      <c r="C14" t="s">
        <v>87</v>
      </c>
    </row>
    <row r="15" spans="1:3">
      <c r="A15" t="s">
        <v>33</v>
      </c>
      <c r="B15" t="s">
        <v>34</v>
      </c>
      <c r="C15" t="s">
        <v>88</v>
      </c>
    </row>
  </sheetData>
  <hyperlinks>
    <hyperlink ref="C1" r:id="rId1" xr:uid="{00000000-0004-0000-03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A16" activeCellId="16" sqref="D2 D6 D10 D14 D18 D22 D26 D30 D34 D38 D42 D46 D50 D54 D58 D62 A16"/>
    </sheetView>
  </sheetViews>
  <sheetFormatPr defaultColWidth="11.77734375" defaultRowHeight="13.2"/>
  <cols>
    <col min="1" max="1" width="46" customWidth="1"/>
    <col min="2" max="2" width="20.109375" customWidth="1"/>
  </cols>
  <sheetData>
    <row r="1" spans="1:4">
      <c r="C1" s="1" t="s">
        <v>0</v>
      </c>
      <c r="D1" s="2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89</v>
      </c>
      <c r="B3" t="s">
        <v>90</v>
      </c>
      <c r="C3" s="3" t="s">
        <v>91</v>
      </c>
      <c r="D3">
        <v>1</v>
      </c>
    </row>
    <row r="4" spans="1:4">
      <c r="A4" t="s">
        <v>92</v>
      </c>
      <c r="B4" t="s">
        <v>93</v>
      </c>
      <c r="C4" s="3" t="s">
        <v>23</v>
      </c>
      <c r="D4">
        <v>2</v>
      </c>
    </row>
    <row r="5" spans="1:4">
      <c r="A5" t="s">
        <v>94</v>
      </c>
      <c r="B5" t="s">
        <v>95</v>
      </c>
      <c r="C5" t="s">
        <v>44</v>
      </c>
      <c r="D5">
        <v>3</v>
      </c>
    </row>
    <row r="6" spans="1:4">
      <c r="A6" t="s">
        <v>96</v>
      </c>
      <c r="B6" t="s">
        <v>97</v>
      </c>
      <c r="C6" t="s">
        <v>98</v>
      </c>
      <c r="D6">
        <v>4</v>
      </c>
    </row>
    <row r="7" spans="1:4">
      <c r="A7" t="s">
        <v>99</v>
      </c>
      <c r="B7" t="s">
        <v>99</v>
      </c>
      <c r="C7" s="3" t="s">
        <v>91</v>
      </c>
      <c r="D7">
        <v>5</v>
      </c>
    </row>
    <row r="8" spans="1:4">
      <c r="A8" t="s">
        <v>100</v>
      </c>
      <c r="B8" t="s">
        <v>100</v>
      </c>
      <c r="C8" s="3" t="s">
        <v>23</v>
      </c>
      <c r="D8">
        <v>6</v>
      </c>
    </row>
    <row r="9" spans="1:4">
      <c r="A9" t="s">
        <v>101</v>
      </c>
      <c r="B9" t="s">
        <v>101</v>
      </c>
      <c r="C9" t="s">
        <v>44</v>
      </c>
      <c r="D9">
        <v>7</v>
      </c>
    </row>
    <row r="10" spans="1:4">
      <c r="A10" t="s">
        <v>102</v>
      </c>
      <c r="B10" t="s">
        <v>102</v>
      </c>
      <c r="C10" t="s">
        <v>98</v>
      </c>
      <c r="D10">
        <v>8</v>
      </c>
    </row>
    <row r="11" spans="1:4">
      <c r="A11" t="s">
        <v>103</v>
      </c>
      <c r="B11" t="s">
        <v>103</v>
      </c>
      <c r="C11" t="s">
        <v>104</v>
      </c>
      <c r="D11">
        <v>9</v>
      </c>
    </row>
    <row r="12" spans="1:4">
      <c r="A12" t="s">
        <v>105</v>
      </c>
      <c r="B12" t="s">
        <v>105</v>
      </c>
      <c r="C12" t="s">
        <v>106</v>
      </c>
      <c r="D12">
        <v>10</v>
      </c>
    </row>
    <row r="13" spans="1:4">
      <c r="A13" t="s">
        <v>107</v>
      </c>
      <c r="B13" t="s">
        <v>107</v>
      </c>
      <c r="C13" t="s">
        <v>108</v>
      </c>
      <c r="D13">
        <v>11</v>
      </c>
    </row>
    <row r="14" spans="1:4">
      <c r="A14" t="s">
        <v>109</v>
      </c>
      <c r="B14" t="s">
        <v>109</v>
      </c>
      <c r="C14" s="3" t="s">
        <v>110</v>
      </c>
      <c r="D14">
        <v>12</v>
      </c>
    </row>
    <row r="15" spans="1:4">
      <c r="A15" t="s">
        <v>111</v>
      </c>
      <c r="B15" t="s">
        <v>111</v>
      </c>
      <c r="C15" s="3" t="s">
        <v>8</v>
      </c>
      <c r="D15">
        <v>13</v>
      </c>
    </row>
    <row r="16" spans="1:4">
      <c r="A16" t="s">
        <v>112</v>
      </c>
      <c r="B16" t="s">
        <v>113</v>
      </c>
      <c r="C16" s="3" t="s">
        <v>91</v>
      </c>
      <c r="D16">
        <v>14</v>
      </c>
    </row>
    <row r="17" spans="1:4">
      <c r="A17" t="s">
        <v>114</v>
      </c>
      <c r="B17" t="s">
        <v>115</v>
      </c>
      <c r="C17" t="s">
        <v>98</v>
      </c>
      <c r="D17">
        <v>15</v>
      </c>
    </row>
  </sheetData>
  <hyperlinks>
    <hyperlink ref="C1" r:id="rId1" xr:uid="{00000000-0004-0000-04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Normal="100" workbookViewId="0">
      <selection activeCell="D11" activeCellId="16" sqref="D2 D6 D10 D14 D18 D22 D26 D30 D34 D38 D42 D46 D50 D54 D58 D62 D11"/>
    </sheetView>
  </sheetViews>
  <sheetFormatPr defaultColWidth="11.77734375" defaultRowHeight="13.2"/>
  <cols>
    <col min="1" max="1" width="46" customWidth="1"/>
    <col min="2" max="2" width="20.109375" customWidth="1"/>
  </cols>
  <sheetData>
    <row r="1" spans="1:4">
      <c r="C1" s="1" t="s">
        <v>0</v>
      </c>
      <c r="D1" s="2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116</v>
      </c>
      <c r="B3" t="s">
        <v>116</v>
      </c>
      <c r="C3" s="3" t="s">
        <v>14</v>
      </c>
      <c r="D3">
        <v>1</v>
      </c>
    </row>
    <row r="4" spans="1:4">
      <c r="A4" t="s">
        <v>117</v>
      </c>
      <c r="B4" t="s">
        <v>117</v>
      </c>
      <c r="C4" s="3" t="s">
        <v>23</v>
      </c>
      <c r="D4">
        <v>2</v>
      </c>
    </row>
    <row r="5" spans="1:4">
      <c r="A5" t="s">
        <v>118</v>
      </c>
      <c r="B5" t="s">
        <v>118</v>
      </c>
      <c r="C5" t="s">
        <v>32</v>
      </c>
      <c r="D5">
        <v>3</v>
      </c>
    </row>
    <row r="6" spans="1:4">
      <c r="A6" t="s">
        <v>119</v>
      </c>
      <c r="B6" t="s">
        <v>119</v>
      </c>
      <c r="C6" t="s">
        <v>98</v>
      </c>
      <c r="D6">
        <v>4</v>
      </c>
    </row>
    <row r="7" spans="1:4">
      <c r="A7" t="s">
        <v>120</v>
      </c>
      <c r="B7" t="s">
        <v>120</v>
      </c>
      <c r="C7" t="s">
        <v>26</v>
      </c>
      <c r="D7">
        <v>5</v>
      </c>
    </row>
    <row r="8" spans="1:4">
      <c r="A8" t="s">
        <v>121</v>
      </c>
      <c r="B8" t="s">
        <v>121</v>
      </c>
      <c r="C8" s="3" t="s">
        <v>23</v>
      </c>
      <c r="D8">
        <v>6</v>
      </c>
    </row>
    <row r="9" spans="1:4">
      <c r="A9" t="s">
        <v>122</v>
      </c>
      <c r="B9" t="s">
        <v>122</v>
      </c>
      <c r="C9" t="s">
        <v>32</v>
      </c>
      <c r="D9">
        <v>7</v>
      </c>
    </row>
    <row r="10" spans="1:4">
      <c r="A10" t="s">
        <v>123</v>
      </c>
      <c r="B10" t="s">
        <v>123</v>
      </c>
      <c r="C10" t="s">
        <v>26</v>
      </c>
      <c r="D10">
        <v>8</v>
      </c>
    </row>
  </sheetData>
  <hyperlinks>
    <hyperlink ref="C1" r:id="rId1" xr:uid="{00000000-0004-0000-05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zoomScaleNormal="100" workbookViewId="0">
      <selection activeCell="A6" activeCellId="16" sqref="D2 D6 D10 D14 D18 D22 D26 D30 D34 D38 D42 D46 D50 D54 D58 D62 A6"/>
    </sheetView>
  </sheetViews>
  <sheetFormatPr defaultColWidth="11.77734375" defaultRowHeight="13.2"/>
  <cols>
    <col min="1" max="1" width="46" customWidth="1"/>
    <col min="2" max="2" width="30.88671875" customWidth="1"/>
    <col min="3" max="3" width="47" customWidth="1"/>
  </cols>
  <sheetData>
    <row r="1" spans="1:4">
      <c r="C1" s="1" t="s">
        <v>0</v>
      </c>
      <c r="D1" s="2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124</v>
      </c>
      <c r="B3" t="s">
        <v>124</v>
      </c>
      <c r="C3" t="s">
        <v>104</v>
      </c>
      <c r="D3">
        <v>1</v>
      </c>
    </row>
    <row r="4" spans="1:4">
      <c r="A4" t="s">
        <v>125</v>
      </c>
      <c r="B4" t="s">
        <v>125</v>
      </c>
      <c r="C4" t="s">
        <v>106</v>
      </c>
      <c r="D4">
        <v>2</v>
      </c>
    </row>
    <row r="5" spans="1:4">
      <c r="A5" t="s">
        <v>126</v>
      </c>
      <c r="B5" t="s">
        <v>126</v>
      </c>
      <c r="C5" t="s">
        <v>108</v>
      </c>
      <c r="D5">
        <v>3</v>
      </c>
    </row>
    <row r="6" spans="1:4">
      <c r="A6" t="s">
        <v>127</v>
      </c>
      <c r="B6" t="s">
        <v>127</v>
      </c>
      <c r="C6" s="3" t="s">
        <v>110</v>
      </c>
      <c r="D6">
        <v>4</v>
      </c>
    </row>
    <row r="7" spans="1:4">
      <c r="A7" t="s">
        <v>128</v>
      </c>
      <c r="B7" t="s">
        <v>128</v>
      </c>
      <c r="C7" s="3" t="s">
        <v>129</v>
      </c>
      <c r="D7">
        <v>5</v>
      </c>
    </row>
    <row r="8" spans="1:4">
      <c r="A8" t="s">
        <v>130</v>
      </c>
      <c r="B8" t="s">
        <v>130</v>
      </c>
      <c r="C8" s="3" t="s">
        <v>8</v>
      </c>
      <c r="D8">
        <v>6</v>
      </c>
    </row>
    <row r="9" spans="1:4">
      <c r="C9" s="3"/>
    </row>
  </sheetData>
  <hyperlinks>
    <hyperlink ref="C1" r:id="rId1" xr:uid="{00000000-0004-0000-06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zoomScaleNormal="100" workbookViewId="0">
      <selection activeCell="A6" activeCellId="16" sqref="D2 D6 D10 D14 D18 D22 D26 D30 D34 D38 D42 D46 D50 D54 D58 D62 A6"/>
    </sheetView>
  </sheetViews>
  <sheetFormatPr defaultColWidth="10.77734375" defaultRowHeight="13.2"/>
  <cols>
    <col min="1" max="1" width="13.109375" customWidth="1"/>
    <col min="2" max="2" width="14.88671875" customWidth="1"/>
    <col min="3" max="3" width="47" customWidth="1"/>
  </cols>
  <sheetData>
    <row r="1" spans="1:4">
      <c r="C1" s="1" t="s">
        <v>0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131</v>
      </c>
      <c r="B3" t="s">
        <v>132</v>
      </c>
      <c r="C3" t="s">
        <v>44</v>
      </c>
      <c r="D3">
        <v>1</v>
      </c>
    </row>
    <row r="4" spans="1:4">
      <c r="A4" t="s">
        <v>133</v>
      </c>
      <c r="B4" t="s">
        <v>134</v>
      </c>
      <c r="C4" t="s">
        <v>23</v>
      </c>
      <c r="D4">
        <v>2</v>
      </c>
    </row>
    <row r="5" spans="1:4">
      <c r="A5" t="s">
        <v>135</v>
      </c>
      <c r="B5" t="s">
        <v>136</v>
      </c>
      <c r="C5" t="s">
        <v>75</v>
      </c>
      <c r="D5">
        <v>3</v>
      </c>
    </row>
    <row r="6" spans="1:4">
      <c r="A6" t="s">
        <v>137</v>
      </c>
      <c r="B6" t="s">
        <v>138</v>
      </c>
      <c r="C6" t="s">
        <v>26</v>
      </c>
      <c r="D6">
        <v>4</v>
      </c>
    </row>
    <row r="7" spans="1:4">
      <c r="A7" t="s">
        <v>42</v>
      </c>
      <c r="B7" t="s">
        <v>139</v>
      </c>
      <c r="C7" t="s">
        <v>110</v>
      </c>
      <c r="D7">
        <v>5</v>
      </c>
    </row>
    <row r="8" spans="1:4">
      <c r="A8" t="s">
        <v>140</v>
      </c>
      <c r="B8" t="s">
        <v>141</v>
      </c>
      <c r="C8" t="s">
        <v>32</v>
      </c>
      <c r="D8">
        <v>6</v>
      </c>
    </row>
  </sheetData>
  <hyperlinks>
    <hyperlink ref="C1" r:id="rId1" xr:uid="{00000000-0004-0000-07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zoomScaleNormal="100" workbookViewId="0">
      <selection activeCellId="16" sqref="D2 D6 D10 D14 D18 D22 D26 D30 D34 D38 D42 D46 D50 D54 D58 D62 A1"/>
    </sheetView>
  </sheetViews>
  <sheetFormatPr defaultColWidth="10.77734375" defaultRowHeight="13.2"/>
  <sheetData>
    <row r="1" spans="1:4">
      <c r="C1" s="1" t="s">
        <v>0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142</v>
      </c>
      <c r="B3" t="s">
        <v>142</v>
      </c>
      <c r="C3" s="3" t="s">
        <v>143</v>
      </c>
      <c r="D3">
        <v>1</v>
      </c>
    </row>
    <row r="4" spans="1:4">
      <c r="A4" s="4" t="s">
        <v>144</v>
      </c>
      <c r="B4" s="4" t="s">
        <v>144</v>
      </c>
      <c r="C4" s="3" t="s">
        <v>26</v>
      </c>
      <c r="D4">
        <v>2</v>
      </c>
    </row>
    <row r="5" spans="1:4">
      <c r="A5" t="s">
        <v>145</v>
      </c>
      <c r="B5" t="s">
        <v>145</v>
      </c>
      <c r="C5" t="s">
        <v>49</v>
      </c>
      <c r="D5">
        <v>3</v>
      </c>
    </row>
    <row r="6" spans="1:4">
      <c r="A6" s="4" t="s">
        <v>146</v>
      </c>
      <c r="B6" s="4" t="s">
        <v>146</v>
      </c>
      <c r="C6" s="2" t="s">
        <v>147</v>
      </c>
      <c r="D6">
        <v>4</v>
      </c>
    </row>
    <row r="7" spans="1:4">
      <c r="A7" t="s">
        <v>148</v>
      </c>
      <c r="B7" t="s">
        <v>148</v>
      </c>
      <c r="C7" t="s">
        <v>44</v>
      </c>
      <c r="D7">
        <v>5</v>
      </c>
    </row>
    <row r="8" spans="1:4">
      <c r="A8" t="s">
        <v>149</v>
      </c>
      <c r="B8" t="s">
        <v>149</v>
      </c>
      <c r="C8" t="s">
        <v>150</v>
      </c>
      <c r="D8">
        <v>6</v>
      </c>
    </row>
    <row r="9" spans="1:4">
      <c r="A9" t="s">
        <v>151</v>
      </c>
      <c r="B9" t="s">
        <v>151</v>
      </c>
      <c r="C9" t="s">
        <v>23</v>
      </c>
      <c r="D9">
        <v>7</v>
      </c>
    </row>
    <row r="10" spans="1:4">
      <c r="A10" t="s">
        <v>152</v>
      </c>
      <c r="B10" t="s">
        <v>152</v>
      </c>
      <c r="C10" s="3" t="s">
        <v>153</v>
      </c>
      <c r="D10">
        <v>8</v>
      </c>
    </row>
    <row r="11" spans="1:4">
      <c r="A11" t="s">
        <v>154</v>
      </c>
      <c r="B11" t="s">
        <v>154</v>
      </c>
      <c r="C11" s="3" t="s">
        <v>155</v>
      </c>
      <c r="D11">
        <v>9</v>
      </c>
    </row>
    <row r="12" spans="1:4">
      <c r="C12" s="3"/>
    </row>
    <row r="15" spans="1:4">
      <c r="C15" s="3"/>
    </row>
  </sheetData>
  <hyperlinks>
    <hyperlink ref="C1" r:id="rId1" xr:uid="{00000000-0004-0000-08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zoomScaleNormal="100" workbookViewId="0">
      <selection activeCell="H22" activeCellId="16" sqref="D2 D6 D10 D14 D18 D22 D26 D30 D34 D38 D42 D46 D50 D54 D58 D62 H22"/>
    </sheetView>
  </sheetViews>
  <sheetFormatPr defaultColWidth="10.77734375" defaultRowHeight="13.2"/>
  <sheetData>
    <row r="1" spans="1:4">
      <c r="C1" s="1" t="s">
        <v>0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156</v>
      </c>
      <c r="B3" t="s">
        <v>156</v>
      </c>
      <c r="C3" s="3" t="s">
        <v>26</v>
      </c>
      <c r="D3">
        <v>1</v>
      </c>
    </row>
    <row r="4" spans="1:4">
      <c r="A4" s="4" t="s">
        <v>157</v>
      </c>
      <c r="B4" s="4" t="s">
        <v>157</v>
      </c>
      <c r="C4" s="2" t="s">
        <v>147</v>
      </c>
      <c r="D4">
        <v>4</v>
      </c>
    </row>
    <row r="5" spans="1:4">
      <c r="A5" t="s">
        <v>158</v>
      </c>
      <c r="B5" t="s">
        <v>158</v>
      </c>
      <c r="C5" t="s">
        <v>150</v>
      </c>
      <c r="D5">
        <v>6</v>
      </c>
    </row>
    <row r="6" spans="1:4">
      <c r="A6" t="s">
        <v>159</v>
      </c>
      <c r="B6" t="s">
        <v>159</v>
      </c>
      <c r="C6" s="3" t="s">
        <v>153</v>
      </c>
      <c r="D6">
        <v>8</v>
      </c>
    </row>
    <row r="7" spans="1:4">
      <c r="C7" s="3"/>
    </row>
    <row r="10" spans="1:4">
      <c r="C10" s="3"/>
    </row>
  </sheetData>
  <hyperlinks>
    <hyperlink ref="C1" r:id="rId1" xr:uid="{00000000-0004-0000-09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zoomScaleNormal="100" workbookViewId="0">
      <selection activeCell="B14" activeCellId="16" sqref="D2 D6 D10 D14 D18 D22 D26 D30 D34 D38 D42 D46 D50 D54 D58 D62 B14"/>
    </sheetView>
  </sheetViews>
  <sheetFormatPr defaultColWidth="10.77734375" defaultRowHeight="13.2"/>
  <cols>
    <col min="1" max="1" width="21.6640625" customWidth="1"/>
    <col min="2" max="2" width="34.109375" customWidth="1"/>
  </cols>
  <sheetData>
    <row r="1" spans="1:4">
      <c r="C1" s="1" t="s">
        <v>0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160</v>
      </c>
      <c r="B3" t="s">
        <v>161</v>
      </c>
      <c r="C3" s="3" t="s">
        <v>23</v>
      </c>
      <c r="D3">
        <v>1</v>
      </c>
    </row>
    <row r="4" spans="1:4">
      <c r="A4" t="s">
        <v>162</v>
      </c>
      <c r="B4" t="s">
        <v>163</v>
      </c>
      <c r="C4" s="3" t="s">
        <v>44</v>
      </c>
      <c r="D4">
        <v>2</v>
      </c>
    </row>
    <row r="5" spans="1:4">
      <c r="A5" t="s">
        <v>164</v>
      </c>
      <c r="B5" t="s">
        <v>165</v>
      </c>
      <c r="C5" t="s">
        <v>41</v>
      </c>
      <c r="D5">
        <v>3</v>
      </c>
    </row>
    <row r="6" spans="1:4">
      <c r="A6" t="s">
        <v>166</v>
      </c>
      <c r="B6" t="s">
        <v>167</v>
      </c>
      <c r="C6" t="s">
        <v>91</v>
      </c>
      <c r="D6">
        <v>4</v>
      </c>
    </row>
    <row r="7" spans="1:4">
      <c r="A7" t="s">
        <v>168</v>
      </c>
      <c r="B7" t="s">
        <v>169</v>
      </c>
      <c r="C7" t="s">
        <v>35</v>
      </c>
      <c r="D7">
        <v>5</v>
      </c>
    </row>
    <row r="8" spans="1:4">
      <c r="A8" t="s">
        <v>170</v>
      </c>
      <c r="B8" t="s">
        <v>171</v>
      </c>
      <c r="C8" t="s">
        <v>32</v>
      </c>
      <c r="D8">
        <v>6</v>
      </c>
    </row>
    <row r="9" spans="1:4">
      <c r="A9" t="s">
        <v>172</v>
      </c>
      <c r="B9" t="s">
        <v>173</v>
      </c>
      <c r="C9" t="s">
        <v>174</v>
      </c>
      <c r="D9">
        <v>7</v>
      </c>
    </row>
    <row r="10" spans="1:4">
      <c r="A10" t="s">
        <v>175</v>
      </c>
      <c r="B10" t="s">
        <v>176</v>
      </c>
      <c r="C10" t="s">
        <v>174</v>
      </c>
      <c r="D10">
        <v>8</v>
      </c>
    </row>
    <row r="11" spans="1:4">
      <c r="C11" s="3"/>
    </row>
  </sheetData>
  <hyperlinks>
    <hyperlink ref="C1" r:id="rId1" xr:uid="{00000000-0004-0000-0A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zoomScaleNormal="100" workbookViewId="0">
      <selection activeCell="A2" activeCellId="16" sqref="D2 D6 D10 D14 D18 D22 D26 D30 D34 D38 D42 D46 D50 D54 D58 D62 A2"/>
    </sheetView>
  </sheetViews>
  <sheetFormatPr defaultColWidth="10.77734375" defaultRowHeight="13.2"/>
  <cols>
    <col min="1" max="1" width="21.6640625" customWidth="1"/>
    <col min="2" max="2" width="34.109375" customWidth="1"/>
  </cols>
  <sheetData>
    <row r="1" spans="1:4">
      <c r="C1" s="1" t="s">
        <v>0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177</v>
      </c>
      <c r="B3" t="s">
        <v>161</v>
      </c>
      <c r="C3" s="3" t="s">
        <v>23</v>
      </c>
      <c r="D3">
        <v>1</v>
      </c>
    </row>
    <row r="4" spans="1:4">
      <c r="A4" t="s">
        <v>178</v>
      </c>
      <c r="B4" t="s">
        <v>163</v>
      </c>
      <c r="C4" s="3" t="s">
        <v>44</v>
      </c>
      <c r="D4">
        <v>2</v>
      </c>
    </row>
    <row r="5" spans="1:4">
      <c r="A5" t="s">
        <v>179</v>
      </c>
      <c r="B5" t="s">
        <v>165</v>
      </c>
      <c r="C5" t="s">
        <v>41</v>
      </c>
      <c r="D5">
        <v>3</v>
      </c>
    </row>
    <row r="6" spans="1:4">
      <c r="A6" t="s">
        <v>180</v>
      </c>
      <c r="B6" t="s">
        <v>167</v>
      </c>
      <c r="C6" t="s">
        <v>91</v>
      </c>
      <c r="D6">
        <v>4</v>
      </c>
    </row>
    <row r="7" spans="1:4">
      <c r="A7" t="s">
        <v>181</v>
      </c>
      <c r="B7" t="s">
        <v>169</v>
      </c>
      <c r="C7" t="s">
        <v>35</v>
      </c>
      <c r="D7">
        <v>5</v>
      </c>
    </row>
    <row r="8" spans="1:4">
      <c r="A8" t="s">
        <v>182</v>
      </c>
      <c r="B8" t="s">
        <v>171</v>
      </c>
      <c r="C8" t="s">
        <v>32</v>
      </c>
      <c r="D8">
        <v>6</v>
      </c>
    </row>
    <row r="9" spans="1:4">
      <c r="A9" t="s">
        <v>183</v>
      </c>
      <c r="B9" t="s">
        <v>173</v>
      </c>
      <c r="C9" t="s">
        <v>174</v>
      </c>
      <c r="D9">
        <v>7</v>
      </c>
    </row>
    <row r="10" spans="1:4">
      <c r="A10" t="s">
        <v>184</v>
      </c>
      <c r="B10" t="s">
        <v>176</v>
      </c>
      <c r="C10" t="s">
        <v>174</v>
      </c>
      <c r="D10">
        <v>8</v>
      </c>
    </row>
    <row r="11" spans="1:4">
      <c r="C11" s="3"/>
    </row>
  </sheetData>
  <hyperlinks>
    <hyperlink ref="C1" r:id="rId1" xr:uid="{00000000-0004-0000-0B00-000000000000}"/>
  </hyperlink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5"/>
  <sheetViews>
    <sheetView topLeftCell="C10" zoomScale="120" zoomScaleNormal="120" workbookViewId="0">
      <selection activeCell="F18" sqref="F18"/>
    </sheetView>
  </sheetViews>
  <sheetFormatPr defaultColWidth="11.6640625" defaultRowHeight="13.2"/>
  <cols>
    <col min="1" max="1" width="23.88671875" customWidth="1"/>
    <col min="2" max="2" width="34.77734375" customWidth="1"/>
    <col min="3" max="3" width="30.77734375" customWidth="1"/>
    <col min="4" max="4" width="38.109375" customWidth="1"/>
    <col min="5" max="5" width="40.21875" customWidth="1"/>
    <col min="6" max="6" width="12.6640625" customWidth="1"/>
    <col min="7" max="7" width="8.5546875" customWidth="1"/>
    <col min="8" max="8" width="8.88671875" customWidth="1"/>
    <col min="9" max="9" width="6.6640625" customWidth="1"/>
  </cols>
  <sheetData>
    <row r="1" spans="1:9" s="5" customFormat="1">
      <c r="A1" s="5" t="s">
        <v>185</v>
      </c>
      <c r="B1" s="5" t="s">
        <v>186</v>
      </c>
      <c r="C1" s="5" t="s">
        <v>187</v>
      </c>
      <c r="D1" s="5" t="s">
        <v>2</v>
      </c>
      <c r="E1" s="5" t="s">
        <v>3</v>
      </c>
      <c r="F1" s="5" t="s">
        <v>4</v>
      </c>
      <c r="G1" s="5" t="s">
        <v>188</v>
      </c>
      <c r="H1" s="5" t="s">
        <v>189</v>
      </c>
      <c r="I1" s="5" t="s">
        <v>5</v>
      </c>
    </row>
    <row r="2" spans="1:9">
      <c r="A2" t="s">
        <v>190</v>
      </c>
      <c r="B2" t="s">
        <v>191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195</v>
      </c>
      <c r="I2">
        <v>1</v>
      </c>
    </row>
    <row r="3" spans="1:9">
      <c r="A3" t="s">
        <v>196</v>
      </c>
      <c r="B3" t="s">
        <v>191</v>
      </c>
      <c r="C3" t="s">
        <v>191</v>
      </c>
      <c r="D3" t="s">
        <v>197</v>
      </c>
      <c r="E3" t="s">
        <v>198</v>
      </c>
      <c r="F3" t="s">
        <v>199</v>
      </c>
      <c r="G3" t="s">
        <v>195</v>
      </c>
      <c r="H3" t="s">
        <v>195</v>
      </c>
      <c r="I3">
        <v>2</v>
      </c>
    </row>
    <row r="4" spans="1:9">
      <c r="A4" t="s">
        <v>200</v>
      </c>
      <c r="B4" t="s">
        <v>191</v>
      </c>
      <c r="C4" t="s">
        <v>191</v>
      </c>
      <c r="D4" t="s">
        <v>201</v>
      </c>
      <c r="E4" t="s">
        <v>202</v>
      </c>
      <c r="F4" t="s">
        <v>203</v>
      </c>
      <c r="G4" t="s">
        <v>195</v>
      </c>
      <c r="H4" t="s">
        <v>195</v>
      </c>
      <c r="I4">
        <v>3</v>
      </c>
    </row>
    <row r="5" spans="1:9">
      <c r="A5" t="s">
        <v>204</v>
      </c>
      <c r="B5" t="s">
        <v>191</v>
      </c>
      <c r="C5" t="s">
        <v>191</v>
      </c>
      <c r="D5" t="s">
        <v>205</v>
      </c>
      <c r="E5" t="s">
        <v>206</v>
      </c>
      <c r="F5" t="s">
        <v>207</v>
      </c>
      <c r="G5" t="s">
        <v>195</v>
      </c>
      <c r="H5" t="s">
        <v>195</v>
      </c>
      <c r="I5">
        <v>4</v>
      </c>
    </row>
    <row r="6" spans="1:9">
      <c r="A6" t="s">
        <v>190</v>
      </c>
      <c r="B6" t="s">
        <v>208</v>
      </c>
      <c r="C6" s="4" t="s">
        <v>209</v>
      </c>
      <c r="D6" s="2" t="s">
        <v>210</v>
      </c>
      <c r="E6" s="2" t="str">
        <f t="shared" ref="E6:E45" si="0">LEFT(A6,3) &amp; "_" &amp; B6</f>
        <v>DEZ_Preissenkung</v>
      </c>
      <c r="F6" s="2" t="s">
        <v>194</v>
      </c>
      <c r="G6" s="2" t="s">
        <v>211</v>
      </c>
      <c r="H6" s="2" t="s">
        <v>212</v>
      </c>
      <c r="I6">
        <v>5</v>
      </c>
    </row>
    <row r="7" spans="1:9">
      <c r="A7" t="s">
        <v>196</v>
      </c>
      <c r="B7" t="s">
        <v>208</v>
      </c>
      <c r="C7" s="4" t="s">
        <v>209</v>
      </c>
      <c r="D7" s="2" t="s">
        <v>213</v>
      </c>
      <c r="E7" s="2" t="str">
        <f t="shared" si="0"/>
        <v>KWN_Preissenkung</v>
      </c>
      <c r="F7" s="2" t="s">
        <v>199</v>
      </c>
      <c r="G7" s="2" t="s">
        <v>211</v>
      </c>
      <c r="H7" s="2" t="s">
        <v>212</v>
      </c>
      <c r="I7">
        <v>6</v>
      </c>
    </row>
    <row r="8" spans="1:9">
      <c r="A8" t="s">
        <v>200</v>
      </c>
      <c r="B8" t="s">
        <v>208</v>
      </c>
      <c r="C8" s="4" t="s">
        <v>209</v>
      </c>
      <c r="D8" s="2" t="s">
        <v>214</v>
      </c>
      <c r="E8" s="2" t="str">
        <f t="shared" si="0"/>
        <v>MIX_Preissenkung</v>
      </c>
      <c r="F8" s="2" t="s">
        <v>203</v>
      </c>
      <c r="G8" s="2" t="s">
        <v>211</v>
      </c>
      <c r="H8" s="2" t="s">
        <v>212</v>
      </c>
      <c r="I8">
        <v>7</v>
      </c>
    </row>
    <row r="9" spans="1:9">
      <c r="A9" t="s">
        <v>204</v>
      </c>
      <c r="B9" t="s">
        <v>208</v>
      </c>
      <c r="C9" s="4" t="s">
        <v>209</v>
      </c>
      <c r="D9" s="2" t="s">
        <v>215</v>
      </c>
      <c r="E9" s="2" t="str">
        <f t="shared" si="0"/>
        <v>GPJ_Preissenkung</v>
      </c>
      <c r="F9" s="2" t="s">
        <v>207</v>
      </c>
      <c r="G9" s="2" t="s">
        <v>211</v>
      </c>
      <c r="H9" s="2" t="s">
        <v>212</v>
      </c>
      <c r="I9">
        <v>8</v>
      </c>
    </row>
    <row r="10" spans="1:9">
      <c r="A10" t="s">
        <v>190</v>
      </c>
      <c r="B10" s="4" t="s">
        <v>216</v>
      </c>
      <c r="C10" s="4" t="s">
        <v>216</v>
      </c>
      <c r="D10" s="2" t="s">
        <v>217</v>
      </c>
      <c r="E10" s="2" t="str">
        <f t="shared" si="0"/>
        <v>DEZ_Risikokampagne</v>
      </c>
      <c r="F10" s="2" t="s">
        <v>194</v>
      </c>
      <c r="G10" s="2" t="s">
        <v>218</v>
      </c>
      <c r="H10" s="2" t="s">
        <v>219</v>
      </c>
      <c r="I10">
        <v>9</v>
      </c>
    </row>
    <row r="11" spans="1:9">
      <c r="A11" t="s">
        <v>196</v>
      </c>
      <c r="B11" s="4" t="s">
        <v>216</v>
      </c>
      <c r="C11" s="4" t="s">
        <v>216</v>
      </c>
      <c r="D11" s="2" t="s">
        <v>220</v>
      </c>
      <c r="E11" s="2" t="str">
        <f t="shared" si="0"/>
        <v>KWN_Risikokampagne</v>
      </c>
      <c r="F11" s="2" t="s">
        <v>199</v>
      </c>
      <c r="G11" s="2" t="s">
        <v>218</v>
      </c>
      <c r="H11" s="2" t="s">
        <v>219</v>
      </c>
      <c r="I11">
        <v>10</v>
      </c>
    </row>
    <row r="12" spans="1:9">
      <c r="A12" t="s">
        <v>200</v>
      </c>
      <c r="B12" s="4" t="s">
        <v>216</v>
      </c>
      <c r="C12" s="4" t="s">
        <v>216</v>
      </c>
      <c r="D12" s="2" t="s">
        <v>221</v>
      </c>
      <c r="E12" s="2" t="str">
        <f t="shared" si="0"/>
        <v>MIX_Risikokampagne</v>
      </c>
      <c r="F12" s="2" t="s">
        <v>203</v>
      </c>
      <c r="G12" s="2" t="s">
        <v>218</v>
      </c>
      <c r="H12" s="2" t="s">
        <v>219</v>
      </c>
      <c r="I12">
        <v>11</v>
      </c>
    </row>
    <row r="13" spans="1:9">
      <c r="A13" t="s">
        <v>204</v>
      </c>
      <c r="B13" s="4" t="s">
        <v>216</v>
      </c>
      <c r="C13" s="4" t="s">
        <v>216</v>
      </c>
      <c r="D13" s="2" t="s">
        <v>222</v>
      </c>
      <c r="E13" s="2" t="str">
        <f t="shared" si="0"/>
        <v>GPJ_Risikokampagne</v>
      </c>
      <c r="F13" s="2" t="s">
        <v>207</v>
      </c>
      <c r="G13" s="2" t="s">
        <v>218</v>
      </c>
      <c r="H13" s="2" t="s">
        <v>219</v>
      </c>
      <c r="I13">
        <v>12</v>
      </c>
    </row>
    <row r="14" spans="1:9">
      <c r="A14" t="s">
        <v>190</v>
      </c>
      <c r="B14" s="4" t="s">
        <v>223</v>
      </c>
      <c r="C14" s="2" t="s">
        <v>224</v>
      </c>
      <c r="D14" s="2" t="s">
        <v>225</v>
      </c>
      <c r="E14" s="2" t="str">
        <f t="shared" si="0"/>
        <v>DEZ_Weiterbildung Installateure</v>
      </c>
      <c r="F14" s="2" t="s">
        <v>194</v>
      </c>
      <c r="G14" s="2" t="s">
        <v>226</v>
      </c>
      <c r="H14" s="2" t="s">
        <v>227</v>
      </c>
      <c r="I14">
        <v>13</v>
      </c>
    </row>
    <row r="15" spans="1:9">
      <c r="A15" t="s">
        <v>196</v>
      </c>
      <c r="B15" s="4" t="s">
        <v>223</v>
      </c>
      <c r="C15" s="2" t="s">
        <v>224</v>
      </c>
      <c r="D15" s="2" t="s">
        <v>228</v>
      </c>
      <c r="E15" s="2" t="str">
        <f t="shared" si="0"/>
        <v>KWN_Weiterbildung Installateure</v>
      </c>
      <c r="F15" s="2" t="s">
        <v>199</v>
      </c>
      <c r="G15" s="2" t="s">
        <v>226</v>
      </c>
      <c r="H15" s="2" t="s">
        <v>227</v>
      </c>
      <c r="I15">
        <v>14</v>
      </c>
    </row>
    <row r="16" spans="1:9">
      <c r="A16" t="s">
        <v>200</v>
      </c>
      <c r="B16" s="4" t="s">
        <v>223</v>
      </c>
      <c r="C16" s="2" t="s">
        <v>224</v>
      </c>
      <c r="D16" s="2" t="s">
        <v>229</v>
      </c>
      <c r="E16" s="2" t="str">
        <f t="shared" si="0"/>
        <v>MIX_Weiterbildung Installateure</v>
      </c>
      <c r="F16" s="2" t="s">
        <v>203</v>
      </c>
      <c r="G16" s="2" t="s">
        <v>226</v>
      </c>
      <c r="H16" s="2" t="s">
        <v>227</v>
      </c>
      <c r="I16">
        <v>15</v>
      </c>
    </row>
    <row r="17" spans="1:9">
      <c r="A17" t="s">
        <v>204</v>
      </c>
      <c r="B17" s="4" t="s">
        <v>223</v>
      </c>
      <c r="C17" s="2" t="s">
        <v>224</v>
      </c>
      <c r="D17" s="2" t="s">
        <v>230</v>
      </c>
      <c r="E17" s="2" t="str">
        <f t="shared" si="0"/>
        <v>GPJ_Weiterbildung Installateure</v>
      </c>
      <c r="F17" s="2" t="s">
        <v>207</v>
      </c>
      <c r="G17" s="2" t="s">
        <v>226</v>
      </c>
      <c r="H17" s="2" t="s">
        <v>227</v>
      </c>
      <c r="I17">
        <v>16</v>
      </c>
    </row>
    <row r="18" spans="1:9">
      <c r="A18" t="s">
        <v>190</v>
      </c>
      <c r="B18" s="4" t="s">
        <v>231</v>
      </c>
      <c r="C18" s="4" t="s">
        <v>232</v>
      </c>
      <c r="D18" s="2" t="s">
        <v>233</v>
      </c>
      <c r="E18" s="2" t="str">
        <f t="shared" si="0"/>
        <v>DEZ_Beraterkampagne</v>
      </c>
      <c r="F18" s="2" t="s">
        <v>203</v>
      </c>
      <c r="G18" s="2" t="s">
        <v>234</v>
      </c>
      <c r="H18" s="2" t="s">
        <v>234</v>
      </c>
      <c r="I18">
        <v>17</v>
      </c>
    </row>
    <row r="19" spans="1:9">
      <c r="A19" t="s">
        <v>196</v>
      </c>
      <c r="B19" s="4" t="s">
        <v>231</v>
      </c>
      <c r="C19" s="4" t="s">
        <v>232</v>
      </c>
      <c r="D19" s="2" t="s">
        <v>235</v>
      </c>
      <c r="E19" s="2" t="str">
        <f t="shared" si="0"/>
        <v>KWN_Beraterkampagne</v>
      </c>
      <c r="F19" s="2" t="s">
        <v>199</v>
      </c>
      <c r="G19" s="2" t="s">
        <v>234</v>
      </c>
      <c r="H19" s="2" t="s">
        <v>234</v>
      </c>
      <c r="I19">
        <v>18</v>
      </c>
    </row>
    <row r="20" spans="1:9">
      <c r="A20" t="s">
        <v>200</v>
      </c>
      <c r="B20" s="4" t="s">
        <v>231</v>
      </c>
      <c r="C20" s="4" t="s">
        <v>232</v>
      </c>
      <c r="D20" s="2" t="s">
        <v>236</v>
      </c>
      <c r="E20" s="2" t="str">
        <f t="shared" si="0"/>
        <v>MIX_Beraterkampagne</v>
      </c>
      <c r="F20" s="2" t="s">
        <v>203</v>
      </c>
      <c r="G20" s="2" t="s">
        <v>234</v>
      </c>
      <c r="H20" s="2" t="s">
        <v>234</v>
      </c>
      <c r="I20">
        <v>19</v>
      </c>
    </row>
    <row r="21" spans="1:9">
      <c r="A21" t="s">
        <v>204</v>
      </c>
      <c r="B21" s="4" t="s">
        <v>231</v>
      </c>
      <c r="C21" s="4" t="s">
        <v>232</v>
      </c>
      <c r="D21" s="2" t="s">
        <v>237</v>
      </c>
      <c r="E21" s="2" t="str">
        <f t="shared" si="0"/>
        <v>GPJ_Beraterkampagne</v>
      </c>
      <c r="F21" s="2" t="s">
        <v>207</v>
      </c>
      <c r="G21" s="2" t="s">
        <v>234</v>
      </c>
      <c r="H21" s="2" t="s">
        <v>234</v>
      </c>
      <c r="I21">
        <v>20</v>
      </c>
    </row>
    <row r="22" spans="1:9">
      <c r="A22" t="s">
        <v>190</v>
      </c>
      <c r="B22" s="4" t="s">
        <v>238</v>
      </c>
      <c r="C22" s="4" t="s">
        <v>239</v>
      </c>
      <c r="D22" s="2" t="s">
        <v>240</v>
      </c>
      <c r="E22" s="2" t="str">
        <f t="shared" si="0"/>
        <v>DEZ_Energiepreissenkung</v>
      </c>
      <c r="F22" s="2" t="s">
        <v>194</v>
      </c>
      <c r="G22" s="2" t="s">
        <v>241</v>
      </c>
      <c r="H22" s="2" t="s">
        <v>241</v>
      </c>
      <c r="I22">
        <v>21</v>
      </c>
    </row>
    <row r="23" spans="1:9">
      <c r="A23" t="s">
        <v>196</v>
      </c>
      <c r="B23" s="4" t="s">
        <v>238</v>
      </c>
      <c r="C23" s="4" t="s">
        <v>239</v>
      </c>
      <c r="D23" s="2" t="s">
        <v>242</v>
      </c>
      <c r="E23" s="2" t="str">
        <f t="shared" si="0"/>
        <v>KWN_Energiepreissenkung</v>
      </c>
      <c r="F23" s="2" t="s">
        <v>199</v>
      </c>
      <c r="G23" s="2" t="s">
        <v>241</v>
      </c>
      <c r="H23" s="2" t="s">
        <v>241</v>
      </c>
      <c r="I23">
        <v>22</v>
      </c>
    </row>
    <row r="24" spans="1:9">
      <c r="A24" t="s">
        <v>200</v>
      </c>
      <c r="B24" s="4" t="s">
        <v>238</v>
      </c>
      <c r="C24" s="4" t="s">
        <v>239</v>
      </c>
      <c r="D24" s="2" t="s">
        <v>243</v>
      </c>
      <c r="E24" s="2" t="str">
        <f t="shared" si="0"/>
        <v>MIX_Energiepreissenkung</v>
      </c>
      <c r="F24" s="2" t="s">
        <v>203</v>
      </c>
      <c r="G24" s="2" t="s">
        <v>241</v>
      </c>
      <c r="H24" s="2" t="s">
        <v>241</v>
      </c>
      <c r="I24">
        <v>23</v>
      </c>
    </row>
    <row r="25" spans="1:9">
      <c r="A25" t="s">
        <v>204</v>
      </c>
      <c r="B25" s="4" t="s">
        <v>238</v>
      </c>
      <c r="C25" s="4" t="s">
        <v>239</v>
      </c>
      <c r="D25" s="2" t="s">
        <v>244</v>
      </c>
      <c r="E25" s="2" t="str">
        <f t="shared" si="0"/>
        <v>GPJ_Energiepreissenkung</v>
      </c>
      <c r="F25" s="2" t="s">
        <v>207</v>
      </c>
      <c r="G25" s="2" t="s">
        <v>241</v>
      </c>
      <c r="H25" s="2" t="s">
        <v>241</v>
      </c>
      <c r="I25">
        <v>24</v>
      </c>
    </row>
    <row r="26" spans="1:9">
      <c r="A26" t="s">
        <v>190</v>
      </c>
      <c r="B26" s="4" t="s">
        <v>245</v>
      </c>
      <c r="C26" s="4" t="s">
        <v>246</v>
      </c>
      <c r="D26" s="2" t="s">
        <v>247</v>
      </c>
      <c r="E26" s="2" t="str">
        <f t="shared" si="0"/>
        <v>DEZ_Ersatzmandate</v>
      </c>
      <c r="F26" s="2" t="s">
        <v>194</v>
      </c>
      <c r="G26" s="2" t="s">
        <v>248</v>
      </c>
      <c r="H26" s="2" t="s">
        <v>248</v>
      </c>
      <c r="I26">
        <v>25</v>
      </c>
    </row>
    <row r="27" spans="1:9">
      <c r="A27" t="s">
        <v>196</v>
      </c>
      <c r="B27" s="4" t="s">
        <v>245</v>
      </c>
      <c r="C27" s="4" t="s">
        <v>246</v>
      </c>
      <c r="D27" s="2" t="s">
        <v>249</v>
      </c>
      <c r="E27" s="2" t="str">
        <f t="shared" si="0"/>
        <v>KWN_Ersatzmandate</v>
      </c>
      <c r="F27" s="2" t="s">
        <v>199</v>
      </c>
      <c r="G27" s="2" t="s">
        <v>248</v>
      </c>
      <c r="H27" s="2" t="s">
        <v>248</v>
      </c>
      <c r="I27">
        <v>26</v>
      </c>
    </row>
    <row r="28" spans="1:9">
      <c r="A28" t="s">
        <v>200</v>
      </c>
      <c r="B28" s="4" t="s">
        <v>245</v>
      </c>
      <c r="C28" s="4" t="s">
        <v>246</v>
      </c>
      <c r="D28" s="2" t="s">
        <v>250</v>
      </c>
      <c r="E28" s="2" t="str">
        <f t="shared" si="0"/>
        <v>MIX_Ersatzmandate</v>
      </c>
      <c r="F28" s="2" t="s">
        <v>203</v>
      </c>
      <c r="G28" s="2" t="s">
        <v>248</v>
      </c>
      <c r="H28" s="2" t="s">
        <v>248</v>
      </c>
      <c r="I28">
        <v>27</v>
      </c>
    </row>
    <row r="29" spans="1:9">
      <c r="A29" t="s">
        <v>204</v>
      </c>
      <c r="B29" s="4" t="s">
        <v>245</v>
      </c>
      <c r="C29" s="4" t="s">
        <v>246</v>
      </c>
      <c r="D29" s="2" t="s">
        <v>251</v>
      </c>
      <c r="E29" s="2" t="str">
        <f t="shared" si="0"/>
        <v>GPJ_Ersatzmandate</v>
      </c>
      <c r="F29" s="2" t="s">
        <v>207</v>
      </c>
      <c r="G29" s="2" t="s">
        <v>248</v>
      </c>
      <c r="H29" s="2" t="s">
        <v>248</v>
      </c>
      <c r="I29">
        <v>28</v>
      </c>
    </row>
    <row r="30" spans="1:9">
      <c r="A30" t="s">
        <v>190</v>
      </c>
      <c r="B30" s="4" t="s">
        <v>252</v>
      </c>
      <c r="C30" s="4" t="s">
        <v>252</v>
      </c>
      <c r="D30" s="2" t="s">
        <v>225</v>
      </c>
      <c r="E30" s="2" t="str">
        <f t="shared" si="0"/>
        <v>DEZ_Kreditlinie</v>
      </c>
      <c r="F30" s="2" t="s">
        <v>194</v>
      </c>
      <c r="G30" s="2" t="s">
        <v>253</v>
      </c>
      <c r="H30" s="2" t="s">
        <v>254</v>
      </c>
      <c r="I30">
        <v>29</v>
      </c>
    </row>
    <row r="31" spans="1:9">
      <c r="A31" t="s">
        <v>196</v>
      </c>
      <c r="B31" s="4" t="s">
        <v>252</v>
      </c>
      <c r="C31" s="4" t="s">
        <v>252</v>
      </c>
      <c r="D31" s="2" t="s">
        <v>228</v>
      </c>
      <c r="E31" s="2" t="str">
        <f t="shared" si="0"/>
        <v>KWN_Kreditlinie</v>
      </c>
      <c r="F31" s="2" t="s">
        <v>199</v>
      </c>
      <c r="G31" s="2" t="s">
        <v>253</v>
      </c>
      <c r="H31" s="2" t="s">
        <v>254</v>
      </c>
      <c r="I31">
        <v>30</v>
      </c>
    </row>
    <row r="32" spans="1:9">
      <c r="A32" t="s">
        <v>200</v>
      </c>
      <c r="B32" s="4" t="s">
        <v>252</v>
      </c>
      <c r="C32" s="4" t="s">
        <v>252</v>
      </c>
      <c r="D32" s="2" t="s">
        <v>229</v>
      </c>
      <c r="E32" s="2" t="str">
        <f t="shared" si="0"/>
        <v>MIX_Kreditlinie</v>
      </c>
      <c r="F32" s="2" t="s">
        <v>203</v>
      </c>
      <c r="G32" s="2" t="s">
        <v>253</v>
      </c>
      <c r="H32" s="2" t="s">
        <v>254</v>
      </c>
      <c r="I32">
        <v>31</v>
      </c>
    </row>
    <row r="33" spans="1:9">
      <c r="A33" t="s">
        <v>204</v>
      </c>
      <c r="B33" s="4" t="s">
        <v>252</v>
      </c>
      <c r="C33" s="4" t="s">
        <v>252</v>
      </c>
      <c r="D33" s="2" t="s">
        <v>230</v>
      </c>
      <c r="E33" s="2" t="str">
        <f t="shared" si="0"/>
        <v>GPJ_Kreditlinie</v>
      </c>
      <c r="F33" s="2" t="s">
        <v>207</v>
      </c>
      <c r="G33" s="2" t="s">
        <v>253</v>
      </c>
      <c r="H33" s="2" t="s">
        <v>254</v>
      </c>
      <c r="I33">
        <v>32</v>
      </c>
    </row>
    <row r="34" spans="1:9">
      <c r="A34" t="s">
        <v>190</v>
      </c>
      <c r="B34" s="4" t="s">
        <v>255</v>
      </c>
      <c r="C34" s="2" t="s">
        <v>256</v>
      </c>
      <c r="D34" s="2" t="s">
        <v>257</v>
      </c>
      <c r="E34" s="2" t="str">
        <f t="shared" si="0"/>
        <v>DEZ_Auswahlbeschränkung</v>
      </c>
      <c r="F34" s="2" t="s">
        <v>194</v>
      </c>
      <c r="G34" s="2" t="s">
        <v>258</v>
      </c>
      <c r="H34" s="2" t="s">
        <v>258</v>
      </c>
      <c r="I34">
        <v>33</v>
      </c>
    </row>
    <row r="35" spans="1:9">
      <c r="A35" t="s">
        <v>196</v>
      </c>
      <c r="B35" s="4" t="s">
        <v>255</v>
      </c>
      <c r="C35" s="2" t="s">
        <v>256</v>
      </c>
      <c r="D35" s="2" t="s">
        <v>259</v>
      </c>
      <c r="E35" s="2" t="str">
        <f t="shared" si="0"/>
        <v>KWN_Auswahlbeschränkung</v>
      </c>
      <c r="F35" s="2" t="s">
        <v>199</v>
      </c>
      <c r="G35" s="2" t="s">
        <v>258</v>
      </c>
      <c r="H35" s="2" t="s">
        <v>258</v>
      </c>
      <c r="I35">
        <v>34</v>
      </c>
    </row>
    <row r="36" spans="1:9">
      <c r="A36" t="s">
        <v>200</v>
      </c>
      <c r="B36" s="4" t="s">
        <v>255</v>
      </c>
      <c r="C36" s="2" t="s">
        <v>256</v>
      </c>
      <c r="D36" s="2" t="s">
        <v>260</v>
      </c>
      <c r="E36" s="2" t="str">
        <f t="shared" si="0"/>
        <v>MIX_Auswahlbeschränkung</v>
      </c>
      <c r="F36" s="2" t="s">
        <v>203</v>
      </c>
      <c r="G36" s="2" t="s">
        <v>258</v>
      </c>
      <c r="H36" s="2" t="s">
        <v>258</v>
      </c>
      <c r="I36">
        <v>35</v>
      </c>
    </row>
    <row r="37" spans="1:9">
      <c r="A37" t="s">
        <v>204</v>
      </c>
      <c r="B37" s="4" t="s">
        <v>255</v>
      </c>
      <c r="C37" s="2" t="s">
        <v>256</v>
      </c>
      <c r="D37" s="2" t="s">
        <v>261</v>
      </c>
      <c r="E37" s="2" t="str">
        <f t="shared" si="0"/>
        <v>GPJ_Auswahlbeschränkung</v>
      </c>
      <c r="F37" s="2" t="s">
        <v>207</v>
      </c>
      <c r="G37" s="2" t="s">
        <v>258</v>
      </c>
      <c r="H37" s="2" t="s">
        <v>258</v>
      </c>
      <c r="I37">
        <v>36</v>
      </c>
    </row>
    <row r="38" spans="1:9">
      <c r="A38" t="s">
        <v>190</v>
      </c>
      <c r="B38" s="4" t="s">
        <v>262</v>
      </c>
      <c r="C38" s="2" t="s">
        <v>263</v>
      </c>
      <c r="D38" s="2" t="s">
        <v>264</v>
      </c>
      <c r="E38" s="2" t="str">
        <f t="shared" si="0"/>
        <v>DEZ_Aufwandsreduzierung</v>
      </c>
      <c r="F38" s="2" t="s">
        <v>194</v>
      </c>
      <c r="G38" s="2" t="s">
        <v>265</v>
      </c>
      <c r="H38" s="2" t="s">
        <v>266</v>
      </c>
      <c r="I38">
        <v>37</v>
      </c>
    </row>
    <row r="39" spans="1:9">
      <c r="A39" t="s">
        <v>196</v>
      </c>
      <c r="B39" s="4" t="s">
        <v>262</v>
      </c>
      <c r="C39" s="2" t="s">
        <v>263</v>
      </c>
      <c r="D39" s="2" t="s">
        <v>267</v>
      </c>
      <c r="E39" s="2" t="str">
        <f t="shared" si="0"/>
        <v>KWN_Aufwandsreduzierung</v>
      </c>
      <c r="F39" s="2" t="s">
        <v>199</v>
      </c>
      <c r="G39" s="2" t="s">
        <v>265</v>
      </c>
      <c r="H39" s="2" t="s">
        <v>266</v>
      </c>
      <c r="I39">
        <v>38</v>
      </c>
    </row>
    <row r="40" spans="1:9">
      <c r="A40" t="s">
        <v>200</v>
      </c>
      <c r="B40" s="4" t="s">
        <v>262</v>
      </c>
      <c r="C40" s="2" t="s">
        <v>263</v>
      </c>
      <c r="D40" s="2" t="s">
        <v>268</v>
      </c>
      <c r="E40" s="2" t="str">
        <f t="shared" si="0"/>
        <v>MIX_Aufwandsreduzierung</v>
      </c>
      <c r="F40" s="2" t="s">
        <v>203</v>
      </c>
      <c r="G40" s="2" t="s">
        <v>265</v>
      </c>
      <c r="H40" s="2" t="s">
        <v>266</v>
      </c>
      <c r="I40">
        <v>39</v>
      </c>
    </row>
    <row r="41" spans="1:9">
      <c r="A41" t="s">
        <v>204</v>
      </c>
      <c r="B41" s="4" t="s">
        <v>262</v>
      </c>
      <c r="C41" s="2" t="s">
        <v>263</v>
      </c>
      <c r="D41" s="2" t="s">
        <v>269</v>
      </c>
      <c r="E41" s="2" t="str">
        <f t="shared" si="0"/>
        <v>GPJ_Aufwandsreduzierung</v>
      </c>
      <c r="F41" s="2" t="s">
        <v>207</v>
      </c>
      <c r="G41" s="2" t="s">
        <v>265</v>
      </c>
      <c r="H41" s="2" t="s">
        <v>266</v>
      </c>
      <c r="I41">
        <v>40</v>
      </c>
    </row>
    <row r="42" spans="1:9">
      <c r="A42" t="s">
        <v>190</v>
      </c>
      <c r="B42" s="4" t="s">
        <v>270</v>
      </c>
      <c r="C42" s="2" t="s">
        <v>271</v>
      </c>
      <c r="D42" s="2" t="s">
        <v>272</v>
      </c>
      <c r="E42" s="2" t="str">
        <f t="shared" si="0"/>
        <v>DEZ_Wärmeliefervertrag</v>
      </c>
      <c r="F42" s="2" t="s">
        <v>194</v>
      </c>
      <c r="G42" s="2" t="s">
        <v>273</v>
      </c>
      <c r="H42" s="2" t="s">
        <v>273</v>
      </c>
      <c r="I42">
        <v>41</v>
      </c>
    </row>
    <row r="43" spans="1:9">
      <c r="A43" t="s">
        <v>196</v>
      </c>
      <c r="B43" s="4" t="s">
        <v>270</v>
      </c>
      <c r="C43" s="2" t="s">
        <v>271</v>
      </c>
      <c r="D43" s="2" t="s">
        <v>274</v>
      </c>
      <c r="E43" s="2" t="str">
        <f t="shared" si="0"/>
        <v>KWN_Wärmeliefervertrag</v>
      </c>
      <c r="F43" s="2" t="s">
        <v>199</v>
      </c>
      <c r="G43" s="2" t="s">
        <v>273</v>
      </c>
      <c r="H43" s="2" t="s">
        <v>273</v>
      </c>
      <c r="I43">
        <v>42</v>
      </c>
    </row>
    <row r="44" spans="1:9">
      <c r="A44" t="s">
        <v>200</v>
      </c>
      <c r="B44" s="4" t="s">
        <v>270</v>
      </c>
      <c r="C44" s="2" t="s">
        <v>271</v>
      </c>
      <c r="D44" s="2" t="s">
        <v>275</v>
      </c>
      <c r="E44" s="2" t="str">
        <f t="shared" si="0"/>
        <v>MIX_Wärmeliefervertrag</v>
      </c>
      <c r="F44" s="2" t="s">
        <v>203</v>
      </c>
      <c r="G44" s="2" t="s">
        <v>273</v>
      </c>
      <c r="H44" s="2" t="s">
        <v>273</v>
      </c>
      <c r="I44">
        <v>43</v>
      </c>
    </row>
    <row r="45" spans="1:9">
      <c r="A45" t="s">
        <v>204</v>
      </c>
      <c r="B45" s="4" t="s">
        <v>270</v>
      </c>
      <c r="C45" s="2" t="s">
        <v>271</v>
      </c>
      <c r="D45" s="2" t="s">
        <v>276</v>
      </c>
      <c r="E45" s="2" t="str">
        <f t="shared" si="0"/>
        <v>GPJ_Wärmeliefervertrag</v>
      </c>
      <c r="F45" s="2" t="s">
        <v>207</v>
      </c>
      <c r="G45" s="2" t="s">
        <v>273</v>
      </c>
      <c r="H45" s="2" t="s">
        <v>273</v>
      </c>
      <c r="I45">
        <v>44</v>
      </c>
    </row>
    <row r="46" spans="1:9">
      <c r="A46" t="s">
        <v>190</v>
      </c>
      <c r="B46" s="6"/>
      <c r="C46" s="2" t="s">
        <v>191</v>
      </c>
      <c r="D46" s="2" t="s">
        <v>277</v>
      </c>
      <c r="E46" s="2" t="s">
        <v>278</v>
      </c>
      <c r="F46" s="2" t="s">
        <v>194</v>
      </c>
      <c r="I46">
        <v>45</v>
      </c>
    </row>
    <row r="47" spans="1:9">
      <c r="A47" t="s">
        <v>196</v>
      </c>
      <c r="C47" t="s">
        <v>191</v>
      </c>
      <c r="D47" t="s">
        <v>279</v>
      </c>
      <c r="E47" t="s">
        <v>278</v>
      </c>
      <c r="F47" t="s">
        <v>199</v>
      </c>
      <c r="I47">
        <v>46</v>
      </c>
    </row>
    <row r="48" spans="1:9">
      <c r="A48" t="s">
        <v>200</v>
      </c>
      <c r="C48" t="s">
        <v>191</v>
      </c>
      <c r="D48" t="s">
        <v>280</v>
      </c>
      <c r="E48" t="s">
        <v>278</v>
      </c>
      <c r="F48" t="s">
        <v>203</v>
      </c>
      <c r="I48">
        <v>47</v>
      </c>
    </row>
    <row r="49" spans="1:9">
      <c r="A49" t="s">
        <v>204</v>
      </c>
      <c r="C49" t="s">
        <v>191</v>
      </c>
      <c r="D49" t="s">
        <v>281</v>
      </c>
      <c r="E49" t="s">
        <v>278</v>
      </c>
      <c r="F49" t="s">
        <v>207</v>
      </c>
      <c r="I49">
        <v>48</v>
      </c>
    </row>
    <row r="50" spans="1:9">
      <c r="A50" t="s">
        <v>190</v>
      </c>
      <c r="B50" s="7" t="s">
        <v>282</v>
      </c>
      <c r="C50" s="2" t="s">
        <v>283</v>
      </c>
      <c r="D50" s="2" t="s">
        <v>284</v>
      </c>
      <c r="E50" s="8" t="s">
        <v>285</v>
      </c>
      <c r="F50" s="2" t="s">
        <v>194</v>
      </c>
      <c r="G50" s="2" t="s">
        <v>286</v>
      </c>
      <c r="H50" s="2" t="s">
        <v>287</v>
      </c>
      <c r="I50">
        <v>49</v>
      </c>
    </row>
    <row r="51" spans="1:9">
      <c r="A51" t="s">
        <v>196</v>
      </c>
      <c r="B51" s="7" t="s">
        <v>282</v>
      </c>
      <c r="C51" s="2" t="s">
        <v>283</v>
      </c>
      <c r="D51" s="2" t="s">
        <v>288</v>
      </c>
      <c r="E51" s="8" t="s">
        <v>289</v>
      </c>
      <c r="F51" s="2" t="s">
        <v>199</v>
      </c>
      <c r="G51" s="2" t="s">
        <v>286</v>
      </c>
      <c r="H51" s="2" t="s">
        <v>287</v>
      </c>
      <c r="I51">
        <v>50</v>
      </c>
    </row>
    <row r="52" spans="1:9">
      <c r="A52" t="s">
        <v>200</v>
      </c>
      <c r="B52" s="7" t="s">
        <v>282</v>
      </c>
      <c r="C52" s="2" t="s">
        <v>283</v>
      </c>
      <c r="D52" s="2" t="s">
        <v>290</v>
      </c>
      <c r="E52" s="8" t="s">
        <v>291</v>
      </c>
      <c r="F52" s="2" t="s">
        <v>203</v>
      </c>
      <c r="G52" s="2" t="s">
        <v>286</v>
      </c>
      <c r="H52" s="2" t="s">
        <v>287</v>
      </c>
      <c r="I52">
        <v>51</v>
      </c>
    </row>
    <row r="53" spans="1:9">
      <c r="A53" t="s">
        <v>204</v>
      </c>
      <c r="B53" s="7" t="s">
        <v>282</v>
      </c>
      <c r="C53" s="2" t="s">
        <v>283</v>
      </c>
      <c r="D53" s="2" t="s">
        <v>292</v>
      </c>
      <c r="E53" s="8" t="s">
        <v>293</v>
      </c>
      <c r="F53" s="2" t="s">
        <v>207</v>
      </c>
      <c r="G53" s="2" t="s">
        <v>286</v>
      </c>
      <c r="H53" s="2" t="s">
        <v>287</v>
      </c>
      <c r="I53">
        <v>52</v>
      </c>
    </row>
    <row r="54" spans="1:9">
      <c r="A54" t="s">
        <v>190</v>
      </c>
      <c r="B54" s="7" t="s">
        <v>294</v>
      </c>
      <c r="C54" s="2" t="s">
        <v>295</v>
      </c>
      <c r="D54" s="2" t="s">
        <v>296</v>
      </c>
      <c r="E54" s="8" t="s">
        <v>297</v>
      </c>
      <c r="F54" s="2" t="s">
        <v>194</v>
      </c>
      <c r="G54" s="2" t="s">
        <v>298</v>
      </c>
      <c r="H54" s="2" t="s">
        <v>299</v>
      </c>
      <c r="I54">
        <v>53</v>
      </c>
    </row>
    <row r="55" spans="1:9">
      <c r="A55" t="s">
        <v>196</v>
      </c>
      <c r="B55" s="7" t="s">
        <v>294</v>
      </c>
      <c r="C55" s="2" t="s">
        <v>295</v>
      </c>
      <c r="D55" s="2" t="s">
        <v>300</v>
      </c>
      <c r="E55" s="8" t="s">
        <v>301</v>
      </c>
      <c r="F55" s="2" t="s">
        <v>199</v>
      </c>
      <c r="G55" s="2" t="s">
        <v>298</v>
      </c>
      <c r="H55" s="2" t="s">
        <v>299</v>
      </c>
      <c r="I55">
        <v>54</v>
      </c>
    </row>
    <row r="56" spans="1:9">
      <c r="A56" t="s">
        <v>200</v>
      </c>
      <c r="B56" s="7" t="s">
        <v>294</v>
      </c>
      <c r="C56" s="2" t="s">
        <v>295</v>
      </c>
      <c r="D56" s="2" t="s">
        <v>302</v>
      </c>
      <c r="E56" s="8" t="s">
        <v>303</v>
      </c>
      <c r="F56" s="2" t="s">
        <v>203</v>
      </c>
      <c r="G56" s="2" t="s">
        <v>298</v>
      </c>
      <c r="H56" s="2" t="s">
        <v>299</v>
      </c>
      <c r="I56">
        <v>55</v>
      </c>
    </row>
    <row r="57" spans="1:9">
      <c r="A57" t="s">
        <v>204</v>
      </c>
      <c r="B57" s="7" t="s">
        <v>294</v>
      </c>
      <c r="C57" s="2" t="s">
        <v>295</v>
      </c>
      <c r="D57" s="2" t="s">
        <v>304</v>
      </c>
      <c r="E57" s="8" t="s">
        <v>305</v>
      </c>
      <c r="F57" s="2" t="s">
        <v>207</v>
      </c>
      <c r="G57" s="2" t="s">
        <v>298</v>
      </c>
      <c r="H57" s="2" t="s">
        <v>299</v>
      </c>
      <c r="I57">
        <v>56</v>
      </c>
    </row>
    <row r="58" spans="1:9">
      <c r="A58" t="s">
        <v>190</v>
      </c>
      <c r="B58" s="7" t="s">
        <v>306</v>
      </c>
      <c r="C58" s="2" t="s">
        <v>307</v>
      </c>
      <c r="D58" s="2" t="s">
        <v>308</v>
      </c>
      <c r="E58" s="8" t="s">
        <v>309</v>
      </c>
      <c r="F58" s="2" t="s">
        <v>194</v>
      </c>
      <c r="G58" s="2" t="s">
        <v>310</v>
      </c>
      <c r="H58" s="2" t="s">
        <v>254</v>
      </c>
      <c r="I58">
        <v>57</v>
      </c>
    </row>
    <row r="59" spans="1:9">
      <c r="A59" t="s">
        <v>196</v>
      </c>
      <c r="B59" s="7" t="s">
        <v>306</v>
      </c>
      <c r="C59" s="2" t="s">
        <v>307</v>
      </c>
      <c r="D59" s="2" t="s">
        <v>311</v>
      </c>
      <c r="E59" s="8" t="s">
        <v>312</v>
      </c>
      <c r="F59" s="2" t="s">
        <v>199</v>
      </c>
      <c r="G59" s="2" t="s">
        <v>310</v>
      </c>
      <c r="H59" s="2" t="s">
        <v>254</v>
      </c>
      <c r="I59">
        <v>58</v>
      </c>
    </row>
    <row r="60" spans="1:9">
      <c r="A60" t="s">
        <v>200</v>
      </c>
      <c r="B60" s="7" t="s">
        <v>306</v>
      </c>
      <c r="C60" s="2" t="s">
        <v>307</v>
      </c>
      <c r="D60" s="2" t="s">
        <v>313</v>
      </c>
      <c r="E60" s="8" t="s">
        <v>314</v>
      </c>
      <c r="F60" s="2" t="s">
        <v>203</v>
      </c>
      <c r="G60" s="2" t="s">
        <v>310</v>
      </c>
      <c r="H60" s="2" t="s">
        <v>254</v>
      </c>
      <c r="I60">
        <v>59</v>
      </c>
    </row>
    <row r="61" spans="1:9">
      <c r="A61" t="s">
        <v>204</v>
      </c>
      <c r="B61" s="7" t="s">
        <v>306</v>
      </c>
      <c r="C61" s="2" t="s">
        <v>307</v>
      </c>
      <c r="D61" s="2" t="s">
        <v>315</v>
      </c>
      <c r="E61" s="8" t="s">
        <v>316</v>
      </c>
      <c r="F61" s="2" t="s">
        <v>207</v>
      </c>
      <c r="G61" s="2" t="s">
        <v>310</v>
      </c>
      <c r="H61" s="2" t="s">
        <v>254</v>
      </c>
      <c r="I61">
        <v>60</v>
      </c>
    </row>
    <row r="62" spans="1:9">
      <c r="A62" t="s">
        <v>190</v>
      </c>
      <c r="B62" s="7" t="s">
        <v>317</v>
      </c>
      <c r="C62" s="2" t="s">
        <v>318</v>
      </c>
      <c r="D62" s="2" t="s">
        <v>319</v>
      </c>
      <c r="E62" s="8" t="s">
        <v>320</v>
      </c>
      <c r="F62" s="2" t="s">
        <v>194</v>
      </c>
      <c r="G62" s="2" t="s">
        <v>321</v>
      </c>
      <c r="H62" s="2" t="s">
        <v>148</v>
      </c>
      <c r="I62">
        <v>61</v>
      </c>
    </row>
    <row r="63" spans="1:9">
      <c r="A63" t="s">
        <v>196</v>
      </c>
      <c r="B63" s="7" t="s">
        <v>317</v>
      </c>
      <c r="C63" s="2" t="s">
        <v>318</v>
      </c>
      <c r="D63" s="2" t="s">
        <v>322</v>
      </c>
      <c r="E63" s="8" t="s">
        <v>323</v>
      </c>
      <c r="F63" s="2" t="s">
        <v>199</v>
      </c>
      <c r="G63" s="2" t="s">
        <v>321</v>
      </c>
      <c r="H63" s="2" t="s">
        <v>148</v>
      </c>
      <c r="I63">
        <v>62</v>
      </c>
    </row>
    <row r="64" spans="1:9">
      <c r="A64" t="s">
        <v>200</v>
      </c>
      <c r="B64" s="7" t="s">
        <v>317</v>
      </c>
      <c r="C64" s="2" t="s">
        <v>318</v>
      </c>
      <c r="D64" s="2" t="s">
        <v>324</v>
      </c>
      <c r="E64" s="8" t="s">
        <v>325</v>
      </c>
      <c r="F64" s="2" t="s">
        <v>203</v>
      </c>
      <c r="G64" s="2" t="s">
        <v>321</v>
      </c>
      <c r="H64" s="2" t="s">
        <v>148</v>
      </c>
      <c r="I64">
        <v>63</v>
      </c>
    </row>
    <row r="65" spans="1:9">
      <c r="A65" t="s">
        <v>204</v>
      </c>
      <c r="B65" s="7" t="s">
        <v>317</v>
      </c>
      <c r="C65" s="2" t="s">
        <v>318</v>
      </c>
      <c r="D65" s="2" t="s">
        <v>326</v>
      </c>
      <c r="E65" s="8" t="s">
        <v>327</v>
      </c>
      <c r="F65" s="2" t="s">
        <v>207</v>
      </c>
      <c r="G65" s="2" t="s">
        <v>321</v>
      </c>
      <c r="H65" s="2" t="s">
        <v>148</v>
      </c>
      <c r="I65">
        <v>64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"/>
  <sheetViews>
    <sheetView tabSelected="1" topLeftCell="B1" zoomScale="180" zoomScaleNormal="180" workbookViewId="0">
      <selection activeCell="E2" sqref="E2"/>
    </sheetView>
  </sheetViews>
  <sheetFormatPr defaultColWidth="11.6640625" defaultRowHeight="13.2"/>
  <cols>
    <col min="2" max="2" width="14" customWidth="1"/>
    <col min="5" max="5" width="18" customWidth="1"/>
  </cols>
  <sheetData>
    <row r="1" spans="1:9">
      <c r="A1" s="5" t="s">
        <v>185</v>
      </c>
      <c r="B1" s="5" t="s">
        <v>186</v>
      </c>
      <c r="C1" s="5" t="s">
        <v>187</v>
      </c>
      <c r="D1" s="5" t="s">
        <v>2</v>
      </c>
      <c r="E1" s="5" t="s">
        <v>3</v>
      </c>
      <c r="F1" s="5" t="s">
        <v>4</v>
      </c>
      <c r="G1" s="5" t="s">
        <v>188</v>
      </c>
      <c r="H1" s="5" t="s">
        <v>189</v>
      </c>
      <c r="I1" s="5" t="s">
        <v>5</v>
      </c>
    </row>
    <row r="2" spans="1:9">
      <c r="E2" t="s">
        <v>336</v>
      </c>
      <c r="I2">
        <v>1</v>
      </c>
    </row>
    <row r="3" spans="1:9">
      <c r="E3" t="s">
        <v>333</v>
      </c>
      <c r="I3">
        <v>2</v>
      </c>
    </row>
    <row r="4" spans="1:9">
      <c r="E4" t="s">
        <v>329</v>
      </c>
      <c r="I4">
        <v>3</v>
      </c>
    </row>
    <row r="5" spans="1:9">
      <c r="E5" t="s">
        <v>330</v>
      </c>
      <c r="I5">
        <v>4</v>
      </c>
    </row>
    <row r="6" spans="1:9">
      <c r="E6" t="s">
        <v>334</v>
      </c>
      <c r="I6">
        <v>5</v>
      </c>
    </row>
    <row r="7" spans="1:9">
      <c r="E7" t="s">
        <v>331</v>
      </c>
      <c r="I7">
        <v>6</v>
      </c>
    </row>
    <row r="8" spans="1:9">
      <c r="E8" t="s">
        <v>332</v>
      </c>
      <c r="I8">
        <v>7</v>
      </c>
    </row>
    <row r="9" spans="1:9">
      <c r="E9" t="s">
        <v>335</v>
      </c>
      <c r="I9">
        <v>8</v>
      </c>
    </row>
    <row r="10" spans="1:9">
      <c r="E10" t="s">
        <v>328</v>
      </c>
      <c r="I10">
        <v>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heatsys_labels</vt:lpstr>
      <vt:lpstr>heatsys_energy_labels</vt:lpstr>
      <vt:lpstr>parts_labels</vt:lpstr>
      <vt:lpstr>heatsys_labels_old</vt:lpstr>
      <vt:lpstr>gt_labels</vt:lpstr>
      <vt:lpstr>bak_labels</vt:lpstr>
      <vt:lpstr>owner_labels</vt:lpstr>
      <vt:lpstr>sources_labels</vt:lpstr>
      <vt:lpstr>eff_class_labels</vt:lpstr>
      <vt:lpstr>eff_class4_labels</vt:lpstr>
      <vt:lpstr>income_labels</vt:lpstr>
      <vt:lpstr>income_labels_agora</vt:lpstr>
      <vt:lpstr>files_prefix</vt:lpstr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Sascha Holzhauer</dc:creator>
  <dc:description/>
  <cp:lastModifiedBy>Ivan Digel</cp:lastModifiedBy>
  <cp:revision>23</cp:revision>
  <dcterms:created xsi:type="dcterms:W3CDTF">2024-02-16T14:39:54Z</dcterms:created>
  <dcterms:modified xsi:type="dcterms:W3CDTF">2025-09-16T12:11:44Z</dcterms:modified>
  <dc:language>de-DE</dc:language>
</cp:coreProperties>
</file>